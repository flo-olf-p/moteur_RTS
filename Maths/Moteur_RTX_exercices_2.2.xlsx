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niv\but3\math\projet\moteur_RTS\Maths\"/>
    </mc:Choice>
  </mc:AlternateContent>
  <xr:revisionPtr revIDLastSave="0" documentId="13_ncr:1_{20710E11-B4E9-48D8-AF36-08DFC58AFA4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" l="1"/>
  <c r="G20" i="1"/>
  <c r="F19" i="1"/>
  <c r="F20" i="1"/>
  <c r="D19" i="1"/>
  <c r="D20" i="1"/>
  <c r="C19" i="1"/>
  <c r="C20" i="1"/>
  <c r="G18" i="1"/>
  <c r="F18" i="1"/>
  <c r="D18" i="1"/>
  <c r="C18" i="1"/>
  <c r="D14" i="1"/>
  <c r="G14" i="1"/>
  <c r="F14" i="1"/>
  <c r="C14" i="1"/>
  <c r="G13" i="1"/>
  <c r="F13" i="1"/>
  <c r="D13" i="1"/>
  <c r="C13" i="1"/>
  <c r="N38" i="1"/>
  <c r="M34" i="1"/>
  <c r="M35" i="1"/>
  <c r="M36" i="1"/>
  <c r="M37" i="1"/>
  <c r="M38" i="1"/>
  <c r="K34" i="1"/>
  <c r="K35" i="1"/>
  <c r="K36" i="1"/>
  <c r="K37" i="1"/>
  <c r="K38" i="1"/>
  <c r="J34" i="1"/>
  <c r="J35" i="1"/>
  <c r="J36" i="1"/>
  <c r="J37" i="1"/>
  <c r="J38" i="1"/>
  <c r="G8" i="1"/>
  <c r="F8" i="1"/>
  <c r="D4" i="1"/>
  <c r="D5" i="1"/>
  <c r="D6" i="1"/>
  <c r="D7" i="1"/>
  <c r="D8" i="1"/>
  <c r="C4" i="1"/>
  <c r="C5" i="1"/>
  <c r="C6" i="1"/>
  <c r="C7" i="1"/>
  <c r="C8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N13" i="1"/>
  <c r="M13" i="1"/>
  <c r="G4" i="1"/>
  <c r="G5" i="1"/>
  <c r="G6" i="1"/>
  <c r="G7" i="1"/>
  <c r="G3" i="1"/>
  <c r="F3" i="1"/>
  <c r="F4" i="1"/>
  <c r="F5" i="1"/>
  <c r="F6" i="1"/>
  <c r="F7" i="1"/>
  <c r="K14" i="1"/>
  <c r="K15" i="1"/>
  <c r="K16" i="1"/>
  <c r="K17" i="1"/>
  <c r="K18" i="1"/>
  <c r="K19" i="1"/>
  <c r="K20" i="1"/>
  <c r="K21" i="1"/>
  <c r="K22" i="1"/>
  <c r="K23" i="1"/>
  <c r="K24" i="1"/>
  <c r="K25" i="1"/>
  <c r="K30" i="1"/>
  <c r="K31" i="1"/>
  <c r="K32" i="1"/>
  <c r="K3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K13" i="1"/>
  <c r="J13" i="1"/>
  <c r="C3" i="1"/>
  <c r="D3" i="1"/>
  <c r="K4" i="1"/>
  <c r="N34" i="1" s="1"/>
  <c r="K29" i="1" l="1"/>
  <c r="N17" i="1"/>
  <c r="N37" i="1"/>
  <c r="K28" i="1"/>
  <c r="N16" i="1"/>
  <c r="N36" i="1"/>
  <c r="K27" i="1"/>
  <c r="N15" i="1"/>
  <c r="N35" i="1"/>
  <c r="K26" i="1"/>
  <c r="N14" i="1"/>
</calcChain>
</file>

<file path=xl/sharedStrings.xml><?xml version="1.0" encoding="utf-8"?>
<sst xmlns="http://schemas.openxmlformats.org/spreadsheetml/2006/main" count="23" uniqueCount="8">
  <si>
    <t>n</t>
  </si>
  <si>
    <t xml:space="preserve">α </t>
  </si>
  <si>
    <t>∆t</t>
  </si>
  <si>
    <t>P0</t>
  </si>
  <si>
    <t>Pdiscret(proie)</t>
  </si>
  <si>
    <t>Pdiscret(predateur)</t>
  </si>
  <si>
    <t>Pthéorique(proie)</t>
  </si>
  <si>
    <t>Pthéorique(predateur)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</si>
</sst>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Feuil1!$J$12</c:f>
              <c:strCache>
                <c:ptCount val="1"/>
                <c:pt idx="0">
                  <c:v>Pdiscret(proie)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Feuil1!$J$13:$J$38</c:f>
              <c:numCache>
                <c:formatCode>General</c:formatCode>
                <c:ptCount val="26"/>
                <c:pt idx="0">
                  <c:v>100</c:v>
                </c:pt>
                <c:pt idx="1">
                  <c:v>105</c:v>
                </c:pt>
                <c:pt idx="2">
                  <c:v>110.25</c:v>
                </c:pt>
                <c:pt idx="3">
                  <c:v>115.76250000000002</c:v>
                </c:pt>
                <c:pt idx="4">
                  <c:v>121.550625</c:v>
                </c:pt>
                <c:pt idx="5">
                  <c:v>127.62815625000002</c:v>
                </c:pt>
                <c:pt idx="6">
                  <c:v>134.0095640625</c:v>
                </c:pt>
                <c:pt idx="7">
                  <c:v>140.71004226562502</c:v>
                </c:pt>
                <c:pt idx="8">
                  <c:v>147.74554437890626</c:v>
                </c:pt>
                <c:pt idx="9">
                  <c:v>155.13282159785157</c:v>
                </c:pt>
                <c:pt idx="10">
                  <c:v>162.88946267774415</c:v>
                </c:pt>
                <c:pt idx="11">
                  <c:v>171.03393581163138</c:v>
                </c:pt>
                <c:pt idx="12">
                  <c:v>179.58563260221291</c:v>
                </c:pt>
                <c:pt idx="13">
                  <c:v>188.56491423232359</c:v>
                </c:pt>
                <c:pt idx="14">
                  <c:v>197.99315994393973</c:v>
                </c:pt>
                <c:pt idx="15">
                  <c:v>207.8928179411368</c:v>
                </c:pt>
                <c:pt idx="16">
                  <c:v>218.2874588381936</c:v>
                </c:pt>
                <c:pt idx="17">
                  <c:v>229.2018317801033</c:v>
                </c:pt>
                <c:pt idx="18">
                  <c:v>240.66192336910848</c:v>
                </c:pt>
                <c:pt idx="19">
                  <c:v>252.69501953756389</c:v>
                </c:pt>
                <c:pt idx="20">
                  <c:v>265.32977051444209</c:v>
                </c:pt>
                <c:pt idx="21">
                  <c:v>278.59625904016417</c:v>
                </c:pt>
                <c:pt idx="22">
                  <c:v>292.52607199217238</c:v>
                </c:pt>
                <c:pt idx="23">
                  <c:v>307.15237559178104</c:v>
                </c:pt>
                <c:pt idx="24">
                  <c:v>322.50999437137006</c:v>
                </c:pt>
                <c:pt idx="25">
                  <c:v>338.63549408993856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7E-46CD-BC4B-EFE09F2D1488}"/>
            </c:ext>
          </c:extLst>
        </c:ser>
        <c:ser>
          <c:idx val="1"/>
          <c:order val="1"/>
          <c:tx>
            <c:strRef>
              <c:f>Feuil1!$K$12</c:f>
              <c:strCache>
                <c:ptCount val="1"/>
                <c:pt idx="0">
                  <c:v>Pdiscret(predateur)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Feuil1!$K$13:$K$38</c:f>
              <c:numCache>
                <c:formatCode>General</c:formatCode>
                <c:ptCount val="26"/>
                <c:pt idx="0">
                  <c:v>100</c:v>
                </c:pt>
                <c:pt idx="1">
                  <c:v>90</c:v>
                </c:pt>
                <c:pt idx="2">
                  <c:v>81</c:v>
                </c:pt>
                <c:pt idx="3">
                  <c:v>72.900000000000006</c:v>
                </c:pt>
                <c:pt idx="4">
                  <c:v>65.610000000000014</c:v>
                </c:pt>
                <c:pt idx="5">
                  <c:v>59.049000000000021</c:v>
                </c:pt>
                <c:pt idx="6">
                  <c:v>53.144100000000016</c:v>
                </c:pt>
                <c:pt idx="7">
                  <c:v>47.829690000000014</c:v>
                </c:pt>
                <c:pt idx="8">
                  <c:v>43.046721000000012</c:v>
                </c:pt>
                <c:pt idx="9">
                  <c:v>38.742048900000015</c:v>
                </c:pt>
                <c:pt idx="10">
                  <c:v>34.867844010000013</c:v>
                </c:pt>
                <c:pt idx="11">
                  <c:v>31.381059609000019</c:v>
                </c:pt>
                <c:pt idx="12">
                  <c:v>28.242953648100016</c:v>
                </c:pt>
                <c:pt idx="13">
                  <c:v>25.418658283290018</c:v>
                </c:pt>
                <c:pt idx="14">
                  <c:v>22.876792454961013</c:v>
                </c:pt>
                <c:pt idx="15">
                  <c:v>20.589113209464912</c:v>
                </c:pt>
                <c:pt idx="16">
                  <c:v>18.530201888518423</c:v>
                </c:pt>
                <c:pt idx="17">
                  <c:v>16.677181699666583</c:v>
                </c:pt>
                <c:pt idx="18">
                  <c:v>15.009463529699923</c:v>
                </c:pt>
                <c:pt idx="19">
                  <c:v>13.508517176729933</c:v>
                </c:pt>
                <c:pt idx="20">
                  <c:v>12.15766545905694</c:v>
                </c:pt>
                <c:pt idx="21">
                  <c:v>10.941898913151247</c:v>
                </c:pt>
                <c:pt idx="22">
                  <c:v>9.8477090218361241</c:v>
                </c:pt>
                <c:pt idx="23">
                  <c:v>8.8629381196525117</c:v>
                </c:pt>
                <c:pt idx="24">
                  <c:v>7.97664430768726</c:v>
                </c:pt>
                <c:pt idx="25">
                  <c:v>7.1789798769185342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7E-46CD-BC4B-EFE09F2D1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5130015"/>
        <c:axId val="53725231"/>
      </c:lineChart>
      <c:catAx>
        <c:axId val="2251300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725231"/>
        <c:crosses val="autoZero"/>
        <c:auto val="1"/>
        <c:lblAlgn val="ctr"/>
        <c:lblOffset val="100"/>
        <c:noMultiLvlLbl val="0"/>
      </c:catAx>
      <c:valAx>
        <c:axId val="5372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25130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454025</xdr:colOff>
      <xdr:row>5</xdr:row>
      <xdr:rowOff>88900</xdr:rowOff>
    </xdr:from>
    <xdr:to>
      <xdr:col>24</xdr:col>
      <xdr:colOff>149225</xdr:colOff>
      <xdr:row>20</xdr:row>
      <xdr:rowOff>69850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78CE118-0379-CEA3-9C35-90693B1989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38"/>
  <sheetViews>
    <sheetView tabSelected="1" topLeftCell="B4" workbookViewId="0">
      <selection activeCell="P24" sqref="P24"/>
    </sheetView>
  </sheetViews>
  <sheetFormatPr baseColWidth="10" defaultColWidth="8.7265625" defaultRowHeight="14.5" x14ac:dyDescent="0.35"/>
  <sheetData>
    <row r="2" spans="2:14" x14ac:dyDescent="0.35">
      <c r="B2" t="s">
        <v>0</v>
      </c>
      <c r="C2" t="s">
        <v>4</v>
      </c>
      <c r="D2" t="s">
        <v>5</v>
      </c>
      <c r="F2" t="s">
        <v>6</v>
      </c>
      <c r="G2" t="s">
        <v>7</v>
      </c>
      <c r="J2" t="s">
        <v>3</v>
      </c>
      <c r="K2" t="s">
        <v>1</v>
      </c>
      <c r="L2" t="s">
        <v>2</v>
      </c>
    </row>
    <row r="3" spans="2:14" x14ac:dyDescent="0.35">
      <c r="B3">
        <v>0</v>
      </c>
      <c r="C3">
        <f>$J$3*(($K$3*$L$3+1)^B3)</f>
        <v>100</v>
      </c>
      <c r="D3">
        <f>$J$3*(($K$4*$L$3+1)^B3)</f>
        <v>100</v>
      </c>
      <c r="F3">
        <f>$J$3*(EXP($K$3*$L$3))^B3</f>
        <v>100</v>
      </c>
      <c r="G3">
        <f>$J$3*(EXP($K$4*$L$3))^B3</f>
        <v>100</v>
      </c>
      <c r="J3">
        <v>100</v>
      </c>
      <c r="K3">
        <v>0.05</v>
      </c>
      <c r="L3">
        <v>5</v>
      </c>
    </row>
    <row r="4" spans="2:14" x14ac:dyDescent="0.35">
      <c r="B4">
        <v>1</v>
      </c>
      <c r="C4">
        <f t="shared" ref="C4:C8" si="0">$J$3*(($K$3*$L$3+1)^B4)</f>
        <v>125</v>
      </c>
      <c r="D4">
        <f t="shared" ref="D4:D8" si="1">$J$3*(($K$4*$L$3+1)^B4)</f>
        <v>50</v>
      </c>
      <c r="F4">
        <f t="shared" ref="F4:F7" si="2">$J$3*(EXP($K$3*$L$3))^B4</f>
        <v>128.40254166877415</v>
      </c>
      <c r="G4">
        <f t="shared" ref="G4:G7" si="3">$J$3*(EXP($K$4*$L$3))^B4</f>
        <v>60.653065971263345</v>
      </c>
      <c r="K4">
        <f>-0.1</f>
        <v>-0.1</v>
      </c>
      <c r="L4">
        <v>1</v>
      </c>
    </row>
    <row r="5" spans="2:14" x14ac:dyDescent="0.35">
      <c r="B5">
        <v>2</v>
      </c>
      <c r="C5">
        <f t="shared" si="0"/>
        <v>156.25</v>
      </c>
      <c r="D5">
        <f t="shared" si="1"/>
        <v>25</v>
      </c>
      <c r="F5">
        <f t="shared" si="2"/>
        <v>164.87212707001279</v>
      </c>
      <c r="G5">
        <f t="shared" si="3"/>
        <v>36.787944117144235</v>
      </c>
      <c r="L5">
        <v>25</v>
      </c>
    </row>
    <row r="6" spans="2:14" x14ac:dyDescent="0.35">
      <c r="B6">
        <v>3</v>
      </c>
      <c r="C6">
        <f t="shared" si="0"/>
        <v>195.3125</v>
      </c>
      <c r="D6">
        <f t="shared" si="1"/>
        <v>12.5</v>
      </c>
      <c r="F6">
        <f t="shared" si="2"/>
        <v>211.70000166126744</v>
      </c>
      <c r="G6">
        <f t="shared" si="3"/>
        <v>22.313016014842983</v>
      </c>
      <c r="L6">
        <v>15</v>
      </c>
    </row>
    <row r="7" spans="2:14" x14ac:dyDescent="0.35">
      <c r="B7">
        <v>4</v>
      </c>
      <c r="C7">
        <f t="shared" si="0"/>
        <v>244.140625</v>
      </c>
      <c r="D7">
        <f t="shared" si="1"/>
        <v>6.25</v>
      </c>
      <c r="F7">
        <f t="shared" si="2"/>
        <v>271.82818284590445</v>
      </c>
      <c r="G7">
        <f t="shared" si="3"/>
        <v>13.533528323661271</v>
      </c>
    </row>
    <row r="8" spans="2:14" x14ac:dyDescent="0.35">
      <c r="B8">
        <v>5</v>
      </c>
      <c r="C8">
        <f t="shared" si="0"/>
        <v>305.17578125</v>
      </c>
      <c r="D8">
        <f t="shared" si="1"/>
        <v>3.125</v>
      </c>
      <c r="F8">
        <f>$J$3*(EXP($K$3*$L$3))^B8</f>
        <v>349.03429574618406</v>
      </c>
      <c r="G8">
        <f>$J$3*(EXP($K$4*$L$3))^B8</f>
        <v>8.2084998623898802</v>
      </c>
    </row>
    <row r="12" spans="2:14" x14ac:dyDescent="0.35">
      <c r="B12" t="s">
        <v>0</v>
      </c>
      <c r="C12" t="s">
        <v>4</v>
      </c>
      <c r="D12" t="s">
        <v>5</v>
      </c>
      <c r="F12" t="s">
        <v>6</v>
      </c>
      <c r="G12" t="s">
        <v>7</v>
      </c>
      <c r="I12" t="s">
        <v>0</v>
      </c>
      <c r="J12" t="s">
        <v>4</v>
      </c>
      <c r="K12" t="s">
        <v>5</v>
      </c>
      <c r="M12" t="s">
        <v>6</v>
      </c>
      <c r="N12" t="s">
        <v>7</v>
      </c>
    </row>
    <row r="13" spans="2:14" x14ac:dyDescent="0.35">
      <c r="B13">
        <v>0</v>
      </c>
      <c r="C13">
        <f>$J$3*(($K$3*$L$5+1)^B13)</f>
        <v>100</v>
      </c>
      <c r="D13">
        <f>$J$3*(($K$4*$L$5+1)^B13)</f>
        <v>100</v>
      </c>
      <c r="F13">
        <f>$J$3*(EXP($K$3*$L$5))^B13</f>
        <v>100</v>
      </c>
      <c r="G13">
        <f>$J$3*(EXP($K$4*$L$5))^B13</f>
        <v>100</v>
      </c>
      <c r="I13">
        <v>0</v>
      </c>
      <c r="J13">
        <f>$J$3*(($K$3*$L$4+1)^I13)</f>
        <v>100</v>
      </c>
      <c r="K13">
        <f>$J$3*(($K$4*$L$4+1)^I13)</f>
        <v>100</v>
      </c>
      <c r="M13">
        <f>$J$3*(EXP($K$3*$L$4))^I13</f>
        <v>100</v>
      </c>
      <c r="N13">
        <f>$J$3*(EXP($K$4*$L$4))^I13</f>
        <v>100</v>
      </c>
    </row>
    <row r="14" spans="2:14" x14ac:dyDescent="0.35">
      <c r="B14">
        <v>1</v>
      </c>
      <c r="C14">
        <f>$J$3*(($K$3*$L$5+1)^B14)</f>
        <v>225</v>
      </c>
      <c r="D14">
        <f>$J$3*(($K$4*$L$5+1)^B14)</f>
        <v>-150</v>
      </c>
      <c r="F14">
        <f>$J$3*(EXP($K$3*$L$5))^B14</f>
        <v>349.03429574618417</v>
      </c>
      <c r="G14">
        <f>$J$3*(EXP($K$4*$L$5))^B14</f>
        <v>8.2084998623898802</v>
      </c>
      <c r="I14">
        <v>1</v>
      </c>
      <c r="J14">
        <f t="shared" ref="J14:J38" si="4">$J$3*(($K$3*$L$4+1)^I14)</f>
        <v>105</v>
      </c>
      <c r="K14">
        <f t="shared" ref="K14:K38" si="5">$J$3*(($K$4*$L$4+1)^I14)</f>
        <v>90</v>
      </c>
      <c r="M14">
        <f t="shared" ref="M14:M38" si="6">$J$3*(EXP($K$3*$L$4))^I14</f>
        <v>105.12710963760242</v>
      </c>
      <c r="N14">
        <f t="shared" ref="N14:N38" si="7">$J$3*(EXP($K$4*$L$4))^I14</f>
        <v>90.483741803595947</v>
      </c>
    </row>
    <row r="15" spans="2:14" x14ac:dyDescent="0.35">
      <c r="I15">
        <v>2</v>
      </c>
      <c r="J15">
        <f t="shared" si="4"/>
        <v>110.25</v>
      </c>
      <c r="K15">
        <f t="shared" si="5"/>
        <v>81</v>
      </c>
      <c r="M15">
        <f t="shared" si="6"/>
        <v>110.51709180756477</v>
      </c>
      <c r="N15">
        <f t="shared" si="7"/>
        <v>81.873075307798175</v>
      </c>
    </row>
    <row r="16" spans="2:14" x14ac:dyDescent="0.35">
      <c r="I16">
        <v>3</v>
      </c>
      <c r="J16">
        <f t="shared" si="4"/>
        <v>115.76250000000002</v>
      </c>
      <c r="K16">
        <f t="shared" si="5"/>
        <v>72.900000000000006</v>
      </c>
      <c r="M16">
        <f t="shared" si="6"/>
        <v>116.18342427282833</v>
      </c>
      <c r="N16">
        <f t="shared" si="7"/>
        <v>74.081822068171761</v>
      </c>
    </row>
    <row r="17" spans="2:14" x14ac:dyDescent="0.35">
      <c r="B17" t="s">
        <v>0</v>
      </c>
      <c r="C17" t="s">
        <v>4</v>
      </c>
      <c r="D17" t="s">
        <v>5</v>
      </c>
      <c r="F17" t="s">
        <v>6</v>
      </c>
      <c r="G17" t="s">
        <v>7</v>
      </c>
      <c r="I17">
        <v>4</v>
      </c>
      <c r="J17">
        <f t="shared" si="4"/>
        <v>121.550625</v>
      </c>
      <c r="K17">
        <f t="shared" si="5"/>
        <v>65.610000000000014</v>
      </c>
      <c r="M17">
        <f t="shared" si="6"/>
        <v>122.14027581601701</v>
      </c>
      <c r="N17">
        <f t="shared" si="7"/>
        <v>67.032004603563905</v>
      </c>
    </row>
    <row r="18" spans="2:14" x14ac:dyDescent="0.35">
      <c r="B18">
        <v>0</v>
      </c>
      <c r="C18">
        <f>$J$3*(($K$3*$L$6+1)^B18)</f>
        <v>100</v>
      </c>
      <c r="D18">
        <f>$J$3*(($K$4*$L$6+1)^B18)</f>
        <v>100</v>
      </c>
      <c r="F18">
        <f>$J$3*(EXP($K$3*$L$6))^B18</f>
        <v>100</v>
      </c>
      <c r="G18">
        <f>$J$3*(EXP($K$4*$L$6))^B18</f>
        <v>100</v>
      </c>
      <c r="I18">
        <v>5</v>
      </c>
      <c r="J18">
        <f t="shared" si="4"/>
        <v>127.62815625000002</v>
      </c>
      <c r="K18">
        <f t="shared" si="5"/>
        <v>59.049000000000021</v>
      </c>
      <c r="M18">
        <f t="shared" si="6"/>
        <v>128.40254166877418</v>
      </c>
      <c r="N18">
        <f t="shared" si="7"/>
        <v>60.653065971263317</v>
      </c>
    </row>
    <row r="19" spans="2:14" x14ac:dyDescent="0.35">
      <c r="B19">
        <v>1</v>
      </c>
      <c r="C19">
        <f t="shared" ref="C19:C20" si="8">$J$3*(($K$3*$L$6+1)^B19)</f>
        <v>175</v>
      </c>
      <c r="D19">
        <f t="shared" ref="D19:D20" si="9">$J$3*(($K$4*$L$6+1)^B19)</f>
        <v>-50</v>
      </c>
      <c r="F19">
        <f t="shared" ref="F19:F20" si="10">$J$3*(EXP($K$3*$L$6))^B19</f>
        <v>211.70000166126749</v>
      </c>
      <c r="G19">
        <f t="shared" ref="G19:G20" si="11">$J$3*(EXP($K$4*$L$6))^B19</f>
        <v>22.313016014842983</v>
      </c>
      <c r="I19">
        <v>6</v>
      </c>
      <c r="J19">
        <f t="shared" si="4"/>
        <v>134.0095640625</v>
      </c>
      <c r="K19">
        <f t="shared" si="5"/>
        <v>53.144100000000016</v>
      </c>
      <c r="M19">
        <f t="shared" si="6"/>
        <v>134.98588075760034</v>
      </c>
      <c r="N19">
        <f t="shared" si="7"/>
        <v>54.88116360940262</v>
      </c>
    </row>
    <row r="20" spans="2:14" x14ac:dyDescent="0.35">
      <c r="B20">
        <v>2</v>
      </c>
      <c r="C20">
        <f t="shared" si="8"/>
        <v>306.25</v>
      </c>
      <c r="D20">
        <f t="shared" si="9"/>
        <v>25</v>
      </c>
      <c r="F20">
        <f t="shared" si="10"/>
        <v>448.16890703380653</v>
      </c>
      <c r="G20">
        <f t="shared" si="11"/>
        <v>4.9787068367863938</v>
      </c>
      <c r="I20">
        <v>7</v>
      </c>
      <c r="J20">
        <f t="shared" si="4"/>
        <v>140.71004226562502</v>
      </c>
      <c r="K20">
        <f t="shared" si="5"/>
        <v>47.829690000000014</v>
      </c>
      <c r="M20">
        <f t="shared" si="6"/>
        <v>141.90675485932579</v>
      </c>
      <c r="N20">
        <f t="shared" si="7"/>
        <v>49.658530379140927</v>
      </c>
    </row>
    <row r="21" spans="2:14" x14ac:dyDescent="0.35">
      <c r="I21">
        <v>8</v>
      </c>
      <c r="J21">
        <f t="shared" si="4"/>
        <v>147.74554437890626</v>
      </c>
      <c r="K21">
        <f t="shared" si="5"/>
        <v>43.046721000000012</v>
      </c>
      <c r="M21">
        <f t="shared" si="6"/>
        <v>149.18246976412709</v>
      </c>
      <c r="N21">
        <f t="shared" si="7"/>
        <v>44.932896411722133</v>
      </c>
    </row>
    <row r="22" spans="2:14" x14ac:dyDescent="0.35">
      <c r="I22">
        <v>9</v>
      </c>
      <c r="J22">
        <f t="shared" si="4"/>
        <v>155.13282159785157</v>
      </c>
      <c r="K22">
        <f t="shared" si="5"/>
        <v>38.742048900000015</v>
      </c>
      <c r="M22">
        <f t="shared" si="6"/>
        <v>156.83121854901697</v>
      </c>
      <c r="N22">
        <f t="shared" si="7"/>
        <v>40.656965974059887</v>
      </c>
    </row>
    <row r="23" spans="2:14" x14ac:dyDescent="0.35">
      <c r="I23">
        <v>10</v>
      </c>
      <c r="J23">
        <f t="shared" si="4"/>
        <v>162.88946267774415</v>
      </c>
      <c r="K23">
        <f t="shared" si="5"/>
        <v>34.867844010000013</v>
      </c>
      <c r="M23">
        <f t="shared" si="6"/>
        <v>164.87212707001291</v>
      </c>
      <c r="N23">
        <f t="shared" si="7"/>
        <v>36.787944117144207</v>
      </c>
    </row>
    <row r="24" spans="2:14" x14ac:dyDescent="0.35">
      <c r="I24">
        <v>11</v>
      </c>
      <c r="J24">
        <f t="shared" si="4"/>
        <v>171.03393581163138</v>
      </c>
      <c r="K24">
        <f t="shared" si="5"/>
        <v>31.381059609000019</v>
      </c>
      <c r="M24">
        <f t="shared" si="6"/>
        <v>173.32530178673963</v>
      </c>
      <c r="N24">
        <f t="shared" si="7"/>
        <v>33.287108369807925</v>
      </c>
    </row>
    <row r="25" spans="2:14" x14ac:dyDescent="0.35">
      <c r="I25">
        <v>12</v>
      </c>
      <c r="J25">
        <f t="shared" si="4"/>
        <v>179.58563260221291</v>
      </c>
      <c r="K25">
        <f t="shared" si="5"/>
        <v>28.242953648100016</v>
      </c>
      <c r="M25">
        <f t="shared" si="6"/>
        <v>182.21188003905101</v>
      </c>
      <c r="N25">
        <f t="shared" si="7"/>
        <v>30.119421191220187</v>
      </c>
    </row>
    <row r="26" spans="2:14" x14ac:dyDescent="0.35">
      <c r="I26">
        <v>13</v>
      </c>
      <c r="J26">
        <f t="shared" si="4"/>
        <v>188.56491423232359</v>
      </c>
      <c r="K26">
        <f t="shared" si="5"/>
        <v>25.418658283290018</v>
      </c>
      <c r="M26">
        <f t="shared" si="6"/>
        <v>191.55408290138976</v>
      </c>
      <c r="N26">
        <f t="shared" si="7"/>
        <v>27.253179303401236</v>
      </c>
    </row>
    <row r="27" spans="2:14" x14ac:dyDescent="0.35">
      <c r="I27">
        <v>14</v>
      </c>
      <c r="J27">
        <f t="shared" si="4"/>
        <v>197.99315994393973</v>
      </c>
      <c r="K27">
        <f t="shared" si="5"/>
        <v>22.876792454961013</v>
      </c>
      <c r="M27">
        <f t="shared" si="6"/>
        <v>201.37527074704781</v>
      </c>
      <c r="N27">
        <f t="shared" si="7"/>
        <v>24.659696394160623</v>
      </c>
    </row>
    <row r="28" spans="2:14" x14ac:dyDescent="0.35">
      <c r="I28">
        <v>15</v>
      </c>
      <c r="J28">
        <f t="shared" si="4"/>
        <v>207.8928179411368</v>
      </c>
      <c r="K28">
        <f t="shared" si="5"/>
        <v>20.589113209464912</v>
      </c>
      <c r="M28">
        <f t="shared" si="6"/>
        <v>211.70000166126766</v>
      </c>
      <c r="N28">
        <f t="shared" si="7"/>
        <v>22.313016014842958</v>
      </c>
    </row>
    <row r="29" spans="2:14" x14ac:dyDescent="0.35">
      <c r="I29">
        <v>16</v>
      </c>
      <c r="J29">
        <f t="shared" si="4"/>
        <v>218.2874588381936</v>
      </c>
      <c r="K29">
        <f t="shared" si="5"/>
        <v>18.530201888518423</v>
      </c>
      <c r="M29">
        <f t="shared" si="6"/>
        <v>222.55409284924696</v>
      </c>
      <c r="N29">
        <f t="shared" si="7"/>
        <v>20.189651799465519</v>
      </c>
    </row>
    <row r="30" spans="2:14" x14ac:dyDescent="0.35">
      <c r="I30">
        <v>17</v>
      </c>
      <c r="J30">
        <f t="shared" si="4"/>
        <v>229.2018317801033</v>
      </c>
      <c r="K30">
        <f t="shared" si="5"/>
        <v>16.677181699666583</v>
      </c>
      <c r="M30">
        <f t="shared" si="6"/>
        <v>233.96468519259935</v>
      </c>
      <c r="N30">
        <f t="shared" si="7"/>
        <v>18.268352405273443</v>
      </c>
    </row>
    <row r="31" spans="2:14" x14ac:dyDescent="0.35">
      <c r="I31">
        <v>18</v>
      </c>
      <c r="J31">
        <f t="shared" si="4"/>
        <v>240.66192336910848</v>
      </c>
      <c r="K31">
        <f t="shared" si="5"/>
        <v>15.009463529699923</v>
      </c>
      <c r="M31">
        <f t="shared" si="6"/>
        <v>245.96031111569522</v>
      </c>
      <c r="N31">
        <f t="shared" si="7"/>
        <v>16.529888822158632</v>
      </c>
    </row>
    <row r="32" spans="2:14" x14ac:dyDescent="0.35">
      <c r="I32">
        <v>19</v>
      </c>
      <c r="J32">
        <f t="shared" si="4"/>
        <v>252.69501953756389</v>
      </c>
      <c r="K32">
        <f t="shared" si="5"/>
        <v>13.508517176729933</v>
      </c>
      <c r="M32">
        <f t="shared" si="6"/>
        <v>258.57096593158491</v>
      </c>
      <c r="N32">
        <f t="shared" si="7"/>
        <v>14.956861922263483</v>
      </c>
    </row>
    <row r="33" spans="9:14" x14ac:dyDescent="0.35">
      <c r="I33">
        <v>20</v>
      </c>
      <c r="J33">
        <f t="shared" si="4"/>
        <v>265.32977051444209</v>
      </c>
      <c r="K33">
        <f t="shared" si="5"/>
        <v>12.15766545905694</v>
      </c>
      <c r="M33">
        <f t="shared" si="6"/>
        <v>271.82818284590485</v>
      </c>
      <c r="N33">
        <f t="shared" si="7"/>
        <v>13.533528323661251</v>
      </c>
    </row>
    <row r="34" spans="9:14" x14ac:dyDescent="0.35">
      <c r="I34">
        <v>21</v>
      </c>
      <c r="J34">
        <f>$J$3*(($K$3*$L$4+1)^I34)</f>
        <v>278.59625904016417</v>
      </c>
      <c r="K34">
        <f>$J$3*(($K$4*$L$4+1)^I34)</f>
        <v>10.941898913151247</v>
      </c>
      <c r="M34">
        <f>$J$3*(EXP($K$3*$L$4))^I34</f>
        <v>285.76511180631672</v>
      </c>
      <c r="N34">
        <f>$J$3*(EXP($K$4*$L$4))^I34</f>
        <v>12.245642825298173</v>
      </c>
    </row>
    <row r="35" spans="9:14" x14ac:dyDescent="0.35">
      <c r="I35">
        <v>22</v>
      </c>
      <c r="J35">
        <f t="shared" si="4"/>
        <v>292.52607199217238</v>
      </c>
      <c r="K35">
        <f t="shared" si="5"/>
        <v>9.8477090218361241</v>
      </c>
      <c r="M35">
        <f t="shared" si="6"/>
        <v>300.41660239464363</v>
      </c>
      <c r="N35">
        <f t="shared" si="7"/>
        <v>11.080315836233371</v>
      </c>
    </row>
    <row r="36" spans="9:14" x14ac:dyDescent="0.35">
      <c r="I36">
        <v>23</v>
      </c>
      <c r="J36">
        <f t="shared" si="4"/>
        <v>307.15237559178104</v>
      </c>
      <c r="K36">
        <f t="shared" si="5"/>
        <v>8.8629381196525117</v>
      </c>
      <c r="M36">
        <f t="shared" si="6"/>
        <v>315.81929096897716</v>
      </c>
      <c r="N36">
        <f t="shared" si="7"/>
        <v>10.025884372280357</v>
      </c>
    </row>
    <row r="37" spans="9:14" x14ac:dyDescent="0.35">
      <c r="I37">
        <v>24</v>
      </c>
      <c r="J37">
        <f t="shared" si="4"/>
        <v>322.50999437137006</v>
      </c>
      <c r="K37">
        <f t="shared" si="5"/>
        <v>7.97664430768726</v>
      </c>
      <c r="M37">
        <f t="shared" si="6"/>
        <v>332.01169227365523</v>
      </c>
      <c r="N37">
        <f t="shared" si="7"/>
        <v>9.0717953289412367</v>
      </c>
    </row>
    <row r="38" spans="9:14" x14ac:dyDescent="0.35">
      <c r="I38">
        <v>25</v>
      </c>
      <c r="J38">
        <f t="shared" si="4"/>
        <v>338.63549408993856</v>
      </c>
      <c r="K38">
        <f t="shared" si="5"/>
        <v>7.1789798769185342</v>
      </c>
      <c r="M38">
        <f t="shared" si="6"/>
        <v>349.03429574618463</v>
      </c>
      <c r="N38">
        <f t="shared" si="7"/>
        <v>8.208499862389866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Florian Pleigneur</dc:creator>
  <cp:lastModifiedBy>Florian PLEIGNEUR</cp:lastModifiedBy>
  <dcterms:created xsi:type="dcterms:W3CDTF">2015-06-05T18:19:34Z</dcterms:created>
  <dcterms:modified xsi:type="dcterms:W3CDTF">2026-09-23T09:57:47Z</dcterms:modified>
</cp:coreProperties>
</file>