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niv\but3\math\projet\moteur_RTS\Maths\"/>
    </mc:Choice>
  </mc:AlternateContent>
  <xr:revisionPtr revIDLastSave="0" documentId="13_ncr:1_{1FE75DAB-9327-4192-8043-B8BE4910EE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13" i="1"/>
  <c r="H19" i="1"/>
  <c r="H20" i="1"/>
  <c r="D19" i="1"/>
  <c r="D20" i="1"/>
  <c r="D18" i="1"/>
  <c r="D14" i="1"/>
  <c r="D13" i="1"/>
  <c r="D3" i="1"/>
  <c r="D4" i="1"/>
  <c r="D5" i="1"/>
  <c r="D6" i="1"/>
  <c r="D7" i="1"/>
  <c r="D8" i="1"/>
  <c r="E19" i="1"/>
  <c r="E20" i="1"/>
  <c r="C19" i="1"/>
  <c r="C20" i="1"/>
  <c r="E18" i="1"/>
  <c r="C18" i="1"/>
  <c r="E14" i="1"/>
  <c r="C14" i="1"/>
  <c r="E13" i="1"/>
  <c r="C13" i="1"/>
  <c r="O34" i="1"/>
  <c r="O35" i="1"/>
  <c r="O36" i="1"/>
  <c r="O37" i="1"/>
  <c r="O38" i="1"/>
  <c r="M34" i="1"/>
  <c r="M35" i="1"/>
  <c r="M36" i="1"/>
  <c r="M37" i="1"/>
  <c r="M38" i="1"/>
  <c r="E8" i="1"/>
  <c r="C4" i="1"/>
  <c r="C5" i="1"/>
  <c r="C6" i="1"/>
  <c r="C7" i="1"/>
  <c r="C8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13" i="1"/>
  <c r="E3" i="1"/>
  <c r="E4" i="1"/>
  <c r="E5" i="1"/>
  <c r="E6" i="1"/>
  <c r="E7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3" i="1"/>
  <c r="C3" i="1"/>
  <c r="M4" i="1"/>
  <c r="R34" i="1" s="1"/>
  <c r="H14" i="1" l="1"/>
  <c r="S31" i="1"/>
  <c r="S29" i="1"/>
  <c r="G14" i="1"/>
  <c r="S23" i="1"/>
  <c r="S19" i="1"/>
  <c r="H3" i="1"/>
  <c r="S36" i="1"/>
  <c r="S33" i="1"/>
  <c r="I13" i="1"/>
  <c r="S30" i="1"/>
  <c r="S28" i="1"/>
  <c r="S26" i="1"/>
  <c r="S18" i="1"/>
  <c r="S34" i="1"/>
  <c r="S13" i="1"/>
  <c r="S17" i="1"/>
  <c r="G13" i="1"/>
  <c r="S25" i="1"/>
  <c r="R19" i="1"/>
  <c r="Q30" i="1"/>
  <c r="R18" i="1"/>
  <c r="Q25" i="1"/>
  <c r="Q24" i="1"/>
  <c r="S16" i="1"/>
  <c r="H18" i="1"/>
  <c r="S37" i="1"/>
  <c r="S35" i="1"/>
  <c r="I14" i="1"/>
  <c r="S27" i="1"/>
  <c r="S22" i="1"/>
  <c r="R21" i="1"/>
  <c r="S20" i="1"/>
  <c r="S15" i="1"/>
  <c r="H13" i="1"/>
  <c r="S38" i="1"/>
  <c r="S32" i="1"/>
  <c r="G18" i="1"/>
  <c r="S24" i="1"/>
  <c r="Q33" i="1"/>
  <c r="S21" i="1"/>
  <c r="Q32" i="1"/>
  <c r="R20" i="1"/>
  <c r="Q31" i="1"/>
  <c r="S14" i="1"/>
  <c r="G8" i="1"/>
  <c r="G7" i="1"/>
  <c r="Q22" i="1"/>
  <c r="G3" i="1"/>
  <c r="G5" i="1"/>
  <c r="Q20" i="1"/>
  <c r="Q13" i="1"/>
  <c r="G19" i="1"/>
  <c r="Q15" i="1"/>
  <c r="Q14" i="1"/>
  <c r="R33" i="1"/>
  <c r="R32" i="1"/>
  <c r="Q38" i="1"/>
  <c r="G6" i="1"/>
  <c r="G4" i="1"/>
  <c r="Q19" i="1"/>
  <c r="Q18" i="1"/>
  <c r="R31" i="1"/>
  <c r="Q37" i="1"/>
  <c r="I8" i="1"/>
  <c r="Q17" i="1"/>
  <c r="Q16" i="1"/>
  <c r="I20" i="1"/>
  <c r="I19" i="1"/>
  <c r="R30" i="1"/>
  <c r="Q36" i="1"/>
  <c r="R29" i="1"/>
  <c r="Q35" i="1"/>
  <c r="G20" i="1"/>
  <c r="Q34" i="1"/>
  <c r="R27" i="1"/>
  <c r="I6" i="1"/>
  <c r="R26" i="1"/>
  <c r="H8" i="1"/>
  <c r="H7" i="1"/>
  <c r="H6" i="1"/>
  <c r="H5" i="1"/>
  <c r="Q23" i="1"/>
  <c r="I18" i="1"/>
  <c r="Q21" i="1"/>
  <c r="I3" i="1"/>
  <c r="R28" i="1"/>
  <c r="I7" i="1"/>
  <c r="I5" i="1"/>
  <c r="R25" i="1"/>
  <c r="I4" i="1"/>
  <c r="R24" i="1"/>
  <c r="R23" i="1"/>
  <c r="R13" i="1"/>
  <c r="R22" i="1"/>
  <c r="R38" i="1"/>
  <c r="H4" i="1"/>
  <c r="Q29" i="1"/>
  <c r="R17" i="1"/>
  <c r="R37" i="1"/>
  <c r="Q28" i="1"/>
  <c r="R16" i="1"/>
  <c r="R36" i="1"/>
  <c r="Q27" i="1"/>
  <c r="R15" i="1"/>
  <c r="R35" i="1"/>
  <c r="Q26" i="1"/>
  <c r="R14" i="1"/>
</calcChain>
</file>

<file path=xl/sharedStrings.xml><?xml version="1.0" encoding="utf-8"?>
<sst xmlns="http://schemas.openxmlformats.org/spreadsheetml/2006/main" count="31" uniqueCount="10">
  <si>
    <t>n</t>
  </si>
  <si>
    <t xml:space="preserve">α </t>
  </si>
  <si>
    <t>∆t</t>
  </si>
  <si>
    <t>P0</t>
  </si>
  <si>
    <t>P-théorique(predateur)</t>
  </si>
  <si>
    <t>P-théorique(proie)</t>
  </si>
  <si>
    <t>P-implicite(proie)</t>
  </si>
  <si>
    <t>P-implicite(pred)</t>
  </si>
  <si>
    <t>P-explicite(proie)</t>
  </si>
  <si>
    <t>P-explicite(predateur)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</si>
</sst>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Feuil1!$M$12</c:f>
              <c:strCache>
                <c:ptCount val="1"/>
                <c:pt idx="0">
                  <c:v>P-explicite(proie)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Feuil1!$M$13:$M$38</c:f>
              <c:numCache>
                <c:formatCode>General</c:formatCode>
                <c:ptCount val="26"/>
                <c:pt idx="0">
                  <c:v>100</c:v>
                </c:pt>
                <c:pt idx="1">
                  <c:v>105</c:v>
                </c:pt>
                <c:pt idx="2">
                  <c:v>110.25</c:v>
                </c:pt>
                <c:pt idx="3">
                  <c:v>115.76250000000002</c:v>
                </c:pt>
                <c:pt idx="4">
                  <c:v>121.550625</c:v>
                </c:pt>
                <c:pt idx="5">
                  <c:v>127.62815625000002</c:v>
                </c:pt>
                <c:pt idx="6">
                  <c:v>134.0095640625</c:v>
                </c:pt>
                <c:pt idx="7">
                  <c:v>140.71004226562502</c:v>
                </c:pt>
                <c:pt idx="8">
                  <c:v>147.74554437890626</c:v>
                </c:pt>
                <c:pt idx="9">
                  <c:v>155.13282159785157</c:v>
                </c:pt>
                <c:pt idx="10">
                  <c:v>162.88946267774415</c:v>
                </c:pt>
                <c:pt idx="11">
                  <c:v>171.03393581163138</c:v>
                </c:pt>
                <c:pt idx="12">
                  <c:v>179.58563260221291</c:v>
                </c:pt>
                <c:pt idx="13">
                  <c:v>188.56491423232359</c:v>
                </c:pt>
                <c:pt idx="14">
                  <c:v>197.99315994393973</c:v>
                </c:pt>
                <c:pt idx="15">
                  <c:v>207.8928179411368</c:v>
                </c:pt>
                <c:pt idx="16">
                  <c:v>218.2874588381936</c:v>
                </c:pt>
                <c:pt idx="17">
                  <c:v>229.2018317801033</c:v>
                </c:pt>
                <c:pt idx="18">
                  <c:v>240.66192336910848</c:v>
                </c:pt>
                <c:pt idx="19">
                  <c:v>252.69501953756389</c:v>
                </c:pt>
                <c:pt idx="20">
                  <c:v>265.32977051444209</c:v>
                </c:pt>
                <c:pt idx="21">
                  <c:v>278.59625904016417</c:v>
                </c:pt>
                <c:pt idx="22">
                  <c:v>292.52607199217238</c:v>
                </c:pt>
                <c:pt idx="23">
                  <c:v>307.15237559178104</c:v>
                </c:pt>
                <c:pt idx="24">
                  <c:v>322.50999437137006</c:v>
                </c:pt>
                <c:pt idx="25">
                  <c:v>338.63549408993856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A-4266-ADED-6D4A78B2D759}"/>
            </c:ext>
          </c:extLst>
        </c:ser>
        <c:ser>
          <c:idx val="1"/>
          <c:order val="1"/>
          <c:tx>
            <c:strRef>
              <c:f>Feuil1!$N$12</c:f>
              <c:strCache>
                <c:ptCount val="1"/>
                <c:pt idx="0">
                  <c:v>P-implicite(proie)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Feuil1!$N$13:$N$38</c:f>
              <c:numCache>
                <c:formatCode>General</c:formatCode>
                <c:ptCount val="26"/>
                <c:pt idx="0">
                  <c:v>100</c:v>
                </c:pt>
                <c:pt idx="1">
                  <c:v>105.26315789473684</c:v>
                </c:pt>
                <c:pt idx="2">
                  <c:v>110.80332409972297</c:v>
                </c:pt>
                <c:pt idx="3">
                  <c:v>116.63507799970839</c:v>
                </c:pt>
                <c:pt idx="4">
                  <c:v>122.77376631548252</c:v>
                </c:pt>
                <c:pt idx="5">
                  <c:v>129.23554348998158</c:v>
                </c:pt>
                <c:pt idx="6">
                  <c:v>136.03741419998062</c:v>
                </c:pt>
                <c:pt idx="7">
                  <c:v>143.19727810524273</c:v>
                </c:pt>
                <c:pt idx="8">
                  <c:v>150.73397695288708</c:v>
                </c:pt>
                <c:pt idx="9">
                  <c:v>158.66734416093377</c:v>
                </c:pt>
                <c:pt idx="10">
                  <c:v>167.01825701150921</c:v>
                </c:pt>
                <c:pt idx="11">
                  <c:v>175.80869159106228</c:v>
                </c:pt>
                <c:pt idx="12">
                  <c:v>185.06178062217086</c:v>
                </c:pt>
                <c:pt idx="13">
                  <c:v>194.80187433912721</c:v>
                </c:pt>
                <c:pt idx="14">
                  <c:v>205.05460456750231</c:v>
                </c:pt>
                <c:pt idx="15">
                  <c:v>215.84695217631818</c:v>
                </c:pt>
                <c:pt idx="16">
                  <c:v>227.20731808033494</c:v>
                </c:pt>
                <c:pt idx="17">
                  <c:v>239.16559797929992</c:v>
                </c:pt>
                <c:pt idx="18">
                  <c:v>251.753261030842</c:v>
                </c:pt>
                <c:pt idx="19">
                  <c:v>265.00343266404423</c:v>
                </c:pt>
                <c:pt idx="20">
                  <c:v>278.95098175162548</c:v>
                </c:pt>
                <c:pt idx="21">
                  <c:v>293.63261237013205</c:v>
                </c:pt>
                <c:pt idx="22">
                  <c:v>309.08696038961267</c:v>
                </c:pt>
                <c:pt idx="23">
                  <c:v>325.35469514696069</c:v>
                </c:pt>
                <c:pt idx="24">
                  <c:v>342.47862647048493</c:v>
                </c:pt>
                <c:pt idx="25">
                  <c:v>360.50381733735247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A-4266-ADED-6D4A78B2D759}"/>
            </c:ext>
          </c:extLst>
        </c:ser>
        <c:ser>
          <c:idx val="2"/>
          <c:order val="2"/>
          <c:tx>
            <c:strRef>
              <c:f>Feuil1!$O$12</c:f>
              <c:strCache>
                <c:ptCount val="1"/>
                <c:pt idx="0">
                  <c:v>P-théorique(proie)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Feuil1!$O$13:$O$38</c:f>
              <c:numCache>
                <c:formatCode>General</c:formatCode>
                <c:ptCount val="26"/>
                <c:pt idx="0">
                  <c:v>100</c:v>
                </c:pt>
                <c:pt idx="1">
                  <c:v>105.12710963760242</c:v>
                </c:pt>
                <c:pt idx="2">
                  <c:v>110.51709180756477</c:v>
                </c:pt>
                <c:pt idx="3">
                  <c:v>116.18342427282833</c:v>
                </c:pt>
                <c:pt idx="4">
                  <c:v>122.14027581601701</c:v>
                </c:pt>
                <c:pt idx="5">
                  <c:v>128.40254166877418</c:v>
                </c:pt>
                <c:pt idx="6">
                  <c:v>134.98588075760034</c:v>
                </c:pt>
                <c:pt idx="7">
                  <c:v>141.90675485932579</c:v>
                </c:pt>
                <c:pt idx="8">
                  <c:v>149.18246976412709</c:v>
                </c:pt>
                <c:pt idx="9">
                  <c:v>156.83121854901697</c:v>
                </c:pt>
                <c:pt idx="10">
                  <c:v>164.87212707001291</c:v>
                </c:pt>
                <c:pt idx="11">
                  <c:v>173.32530178673963</c:v>
                </c:pt>
                <c:pt idx="12">
                  <c:v>182.21188003905101</c:v>
                </c:pt>
                <c:pt idx="13">
                  <c:v>191.55408290138976</c:v>
                </c:pt>
                <c:pt idx="14">
                  <c:v>201.37527074704781</c:v>
                </c:pt>
                <c:pt idx="15">
                  <c:v>211.70000166126766</c:v>
                </c:pt>
                <c:pt idx="16">
                  <c:v>222.55409284924696</c:v>
                </c:pt>
                <c:pt idx="17">
                  <c:v>233.96468519259935</c:v>
                </c:pt>
                <c:pt idx="18">
                  <c:v>245.96031111569522</c:v>
                </c:pt>
                <c:pt idx="19">
                  <c:v>258.57096593158491</c:v>
                </c:pt>
                <c:pt idx="20">
                  <c:v>271.82818284590485</c:v>
                </c:pt>
                <c:pt idx="21">
                  <c:v>285.76511180631672</c:v>
                </c:pt>
                <c:pt idx="22">
                  <c:v>300.41660239464363</c:v>
                </c:pt>
                <c:pt idx="23">
                  <c:v>315.81929096897716</c:v>
                </c:pt>
                <c:pt idx="24">
                  <c:v>332.01169227365523</c:v>
                </c:pt>
                <c:pt idx="25">
                  <c:v>349.03429574618463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A-4266-ADED-6D4A78B2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537440"/>
        <c:axId val="1354027760"/>
      </c:lineChart>
      <c:catAx>
        <c:axId val="165353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4027760"/>
        <c:crosses val="autoZero"/>
        <c:auto val="1"/>
        <c:lblAlgn val="ctr"/>
        <c:lblOffset val="100"/>
        <c:noMultiLvlLbl val="0"/>
      </c:catAx>
      <c:valAx>
        <c:axId val="13540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353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prédateur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Feuil1!$Q$12</c:f>
              <c:strCache>
                <c:ptCount val="1"/>
                <c:pt idx="0">
                  <c:v>P-explicite(predateur)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Feuil1!$Q$13:$Q$38</c:f>
              <c:numCache>
                <c:formatCode>General</c:formatCode>
                <c:ptCount val="26"/>
                <c:pt idx="0">
                  <c:v>100</c:v>
                </c:pt>
                <c:pt idx="1">
                  <c:v>90</c:v>
                </c:pt>
                <c:pt idx="2">
                  <c:v>81</c:v>
                </c:pt>
                <c:pt idx="3">
                  <c:v>72.900000000000006</c:v>
                </c:pt>
                <c:pt idx="4">
                  <c:v>65.610000000000014</c:v>
                </c:pt>
                <c:pt idx="5">
                  <c:v>59.049000000000021</c:v>
                </c:pt>
                <c:pt idx="6">
                  <c:v>53.144100000000016</c:v>
                </c:pt>
                <c:pt idx="7">
                  <c:v>47.829690000000014</c:v>
                </c:pt>
                <c:pt idx="8">
                  <c:v>43.046721000000012</c:v>
                </c:pt>
                <c:pt idx="9">
                  <c:v>38.742048900000015</c:v>
                </c:pt>
                <c:pt idx="10">
                  <c:v>34.867844010000013</c:v>
                </c:pt>
                <c:pt idx="11">
                  <c:v>31.381059609000019</c:v>
                </c:pt>
                <c:pt idx="12">
                  <c:v>28.242953648100016</c:v>
                </c:pt>
                <c:pt idx="13">
                  <c:v>25.418658283290018</c:v>
                </c:pt>
                <c:pt idx="14">
                  <c:v>22.876792454961013</c:v>
                </c:pt>
                <c:pt idx="15">
                  <c:v>20.589113209464912</c:v>
                </c:pt>
                <c:pt idx="16">
                  <c:v>18.530201888518423</c:v>
                </c:pt>
                <c:pt idx="17">
                  <c:v>16.677181699666583</c:v>
                </c:pt>
                <c:pt idx="18">
                  <c:v>15.009463529699923</c:v>
                </c:pt>
                <c:pt idx="19">
                  <c:v>13.508517176729933</c:v>
                </c:pt>
                <c:pt idx="20">
                  <c:v>12.15766545905694</c:v>
                </c:pt>
                <c:pt idx="21">
                  <c:v>10.941898913151247</c:v>
                </c:pt>
                <c:pt idx="22">
                  <c:v>9.8477090218361241</c:v>
                </c:pt>
                <c:pt idx="23">
                  <c:v>8.8629381196525117</c:v>
                </c:pt>
                <c:pt idx="24">
                  <c:v>7.97664430768726</c:v>
                </c:pt>
                <c:pt idx="25">
                  <c:v>7.1789798769185342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0-4E04-A9A4-15CB927A01E5}"/>
            </c:ext>
          </c:extLst>
        </c:ser>
        <c:ser>
          <c:idx val="1"/>
          <c:order val="1"/>
          <c:tx>
            <c:strRef>
              <c:f>Feuil1!$R$12</c:f>
              <c:strCache>
                <c:ptCount val="1"/>
                <c:pt idx="0">
                  <c:v>P-théorique(predateur)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Feuil1!$R$13:$R$38</c:f>
              <c:numCache>
                <c:formatCode>General</c:formatCode>
                <c:ptCount val="26"/>
                <c:pt idx="0">
                  <c:v>100</c:v>
                </c:pt>
                <c:pt idx="1">
                  <c:v>90.483741803595947</c:v>
                </c:pt>
                <c:pt idx="2">
                  <c:v>81.873075307798175</c:v>
                </c:pt>
                <c:pt idx="3">
                  <c:v>74.081822068171761</c:v>
                </c:pt>
                <c:pt idx="4">
                  <c:v>67.032004603563905</c:v>
                </c:pt>
                <c:pt idx="5">
                  <c:v>60.653065971263317</c:v>
                </c:pt>
                <c:pt idx="6">
                  <c:v>54.88116360940262</c:v>
                </c:pt>
                <c:pt idx="7">
                  <c:v>49.658530379140927</c:v>
                </c:pt>
                <c:pt idx="8">
                  <c:v>44.932896411722133</c:v>
                </c:pt>
                <c:pt idx="9">
                  <c:v>40.656965974059887</c:v>
                </c:pt>
                <c:pt idx="10">
                  <c:v>36.787944117144207</c:v>
                </c:pt>
                <c:pt idx="11">
                  <c:v>33.287108369807925</c:v>
                </c:pt>
                <c:pt idx="12">
                  <c:v>30.119421191220187</c:v>
                </c:pt>
                <c:pt idx="13">
                  <c:v>27.253179303401236</c:v>
                </c:pt>
                <c:pt idx="14">
                  <c:v>24.659696394160623</c:v>
                </c:pt>
                <c:pt idx="15">
                  <c:v>22.313016014842958</c:v>
                </c:pt>
                <c:pt idx="16">
                  <c:v>20.189651799465519</c:v>
                </c:pt>
                <c:pt idx="17">
                  <c:v>18.268352405273443</c:v>
                </c:pt>
                <c:pt idx="18">
                  <c:v>16.529888822158632</c:v>
                </c:pt>
                <c:pt idx="19">
                  <c:v>14.956861922263483</c:v>
                </c:pt>
                <c:pt idx="20">
                  <c:v>13.533528323661251</c:v>
                </c:pt>
                <c:pt idx="21">
                  <c:v>12.245642825298173</c:v>
                </c:pt>
                <c:pt idx="22">
                  <c:v>11.080315836233371</c:v>
                </c:pt>
                <c:pt idx="23">
                  <c:v>10.025884372280357</c:v>
                </c:pt>
                <c:pt idx="24">
                  <c:v>9.0717953289412367</c:v>
                </c:pt>
                <c:pt idx="25">
                  <c:v>8.208499862389866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0-4E04-A9A4-15CB927A01E5}"/>
            </c:ext>
          </c:extLst>
        </c:ser>
        <c:ser>
          <c:idx val="2"/>
          <c:order val="2"/>
          <c:tx>
            <c:strRef>
              <c:f>Feuil1!$S$12</c:f>
              <c:strCache>
                <c:ptCount val="1"/>
                <c:pt idx="0">
                  <c:v>P-implicite(pred)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Feuil1!$S$13:$S$38</c:f>
              <c:numCache>
                <c:formatCode>General</c:formatCode>
                <c:ptCount val="26"/>
                <c:pt idx="0">
                  <c:v>100</c:v>
                </c:pt>
                <c:pt idx="1">
                  <c:v>90.909090909090907</c:v>
                </c:pt>
                <c:pt idx="2">
                  <c:v>82.644628099173545</c:v>
                </c:pt>
                <c:pt idx="3">
                  <c:v>75.131480090157766</c:v>
                </c:pt>
                <c:pt idx="4">
                  <c:v>68.301345536507057</c:v>
                </c:pt>
                <c:pt idx="5">
                  <c:v>62.092132305915506</c:v>
                </c:pt>
                <c:pt idx="6">
                  <c:v>56.44739300537772</c:v>
                </c:pt>
                <c:pt idx="7">
                  <c:v>51.315811823070653</c:v>
                </c:pt>
                <c:pt idx="8">
                  <c:v>46.650738020973321</c:v>
                </c:pt>
                <c:pt idx="9">
                  <c:v>42.409761837248475</c:v>
                </c:pt>
                <c:pt idx="10">
                  <c:v>38.554328942953155</c:v>
                </c:pt>
                <c:pt idx="11">
                  <c:v>35.049389948139229</c:v>
                </c:pt>
                <c:pt idx="12">
                  <c:v>31.863081771035663</c:v>
                </c:pt>
                <c:pt idx="13">
                  <c:v>28.966437973668778</c:v>
                </c:pt>
                <c:pt idx="14">
                  <c:v>26.333125430607979</c:v>
                </c:pt>
                <c:pt idx="15">
                  <c:v>23.939204936916344</c:v>
                </c:pt>
                <c:pt idx="16">
                  <c:v>21.76291357901486</c:v>
                </c:pt>
                <c:pt idx="17">
                  <c:v>19.784466890013508</c:v>
                </c:pt>
                <c:pt idx="18">
                  <c:v>17.985878990921371</c:v>
                </c:pt>
                <c:pt idx="19">
                  <c:v>16.35079908265579</c:v>
                </c:pt>
                <c:pt idx="20">
                  <c:v>14.864362802414352</c:v>
                </c:pt>
                <c:pt idx="21">
                  <c:v>13.513057093103958</c:v>
                </c:pt>
                <c:pt idx="22">
                  <c:v>12.284597357367231</c:v>
                </c:pt>
                <c:pt idx="23">
                  <c:v>11.167815779424755</c:v>
                </c:pt>
                <c:pt idx="24">
                  <c:v>10.15255979947705</c:v>
                </c:pt>
                <c:pt idx="25">
                  <c:v>9.2295998177064096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0-4E04-A9A4-15CB927A0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138064"/>
        <c:axId val="1354133360"/>
      </c:lineChart>
      <c:catAx>
        <c:axId val="157113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4133360"/>
        <c:crosses val="autoZero"/>
        <c:auto val="1"/>
        <c:lblAlgn val="ctr"/>
        <c:lblOffset val="100"/>
        <c:noMultiLvlLbl val="0"/>
      </c:catAx>
      <c:valAx>
        <c:axId val="13541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11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373674</xdr:colOff>
      <xdr:row>26</xdr:row>
      <xdr:rowOff>3419</xdr:rowOff>
    </xdr:from>
    <xdr:to>
      <xdr:col>11</xdr:col>
      <xdr:colOff>61059</xdr:colOff>
      <xdr:row>40</xdr:row>
      <xdr:rowOff>148004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0A70B44-345A-74F5-2137-6AA93E33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350630</xdr:colOff>
      <xdr:row>41</xdr:row>
      <xdr:rowOff>119270</xdr:rowOff>
    </xdr:from>
    <xdr:to>
      <xdr:col>11</xdr:col>
      <xdr:colOff>63500</xdr:colOff>
      <xdr:row>56</xdr:row>
      <xdr:rowOff>129209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F52C350-3EA6-DFD7-33F0-59F6479D8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8"/>
  <sheetViews>
    <sheetView tabSelected="1" topLeftCell="A33" zoomScale="115" zoomScaleNormal="115" workbookViewId="0">
      <selection activeCell="N54" sqref="N54"/>
    </sheetView>
  </sheetViews>
  <sheetFormatPr baseColWidth="10" defaultColWidth="8.7265625" defaultRowHeight="14.5" x14ac:dyDescent="0.35"/>
  <sheetData>
    <row r="2" spans="2:19" x14ac:dyDescent="0.35">
      <c r="B2" t="s">
        <v>0</v>
      </c>
      <c r="C2" t="s">
        <v>8</v>
      </c>
      <c r="D2" t="s">
        <v>6</v>
      </c>
      <c r="E2" t="s">
        <v>5</v>
      </c>
      <c r="G2" t="s">
        <v>9</v>
      </c>
      <c r="H2" t="s">
        <v>7</v>
      </c>
      <c r="I2" t="s">
        <v>4</v>
      </c>
      <c r="L2" t="s">
        <v>3</v>
      </c>
      <c r="M2" t="s">
        <v>1</v>
      </c>
      <c r="N2" t="s">
        <v>2</v>
      </c>
    </row>
    <row r="3" spans="2:19" x14ac:dyDescent="0.35">
      <c r="B3">
        <v>0</v>
      </c>
      <c r="C3">
        <f>$L$3*(($M$3*$N$3+1)^B3)</f>
        <v>100</v>
      </c>
      <c r="D3">
        <f>$L$3*(1/(1-$M$3*$N$3))^B3</f>
        <v>100</v>
      </c>
      <c r="E3">
        <f>$L$3*(EXP($M$3*$N$3))^B3</f>
        <v>100</v>
      </c>
      <c r="G3">
        <f>$L$3*(($M$4*$N$3+1)^B3)</f>
        <v>100</v>
      </c>
      <c r="H3">
        <f>$L$3*(1/(1-$M$4*$N$3))^B3</f>
        <v>100</v>
      </c>
      <c r="I3">
        <f>$L$3*(EXP($M$4*$N$3))^B3</f>
        <v>100</v>
      </c>
      <c r="L3">
        <v>100</v>
      </c>
      <c r="M3">
        <v>0.05</v>
      </c>
      <c r="N3">
        <v>5</v>
      </c>
    </row>
    <row r="4" spans="2:19" x14ac:dyDescent="0.35">
      <c r="B4">
        <v>1</v>
      </c>
      <c r="C4">
        <f>$L$3*(($M$3*$N$3+1)^B4)</f>
        <v>125</v>
      </c>
      <c r="D4">
        <f>$L$3*(1/(1-$M$3*$N$3))^B4</f>
        <v>133.33333333333331</v>
      </c>
      <c r="E4">
        <f>$L$3*(EXP($M$3*$N$3))^B4</f>
        <v>128.40254166877415</v>
      </c>
      <c r="G4">
        <f>$L$3*(($M$4*$N$3+1)^B4)</f>
        <v>50</v>
      </c>
      <c r="H4">
        <f>$L$3*(1/(1-$M$4*$N$3))^B4</f>
        <v>66.666666666666657</v>
      </c>
      <c r="I4">
        <f>$L$3*(EXP($M$4*$N$3))^B4</f>
        <v>60.653065971263345</v>
      </c>
      <c r="M4">
        <f>-0.1</f>
        <v>-0.1</v>
      </c>
      <c r="N4">
        <v>1</v>
      </c>
    </row>
    <row r="5" spans="2:19" x14ac:dyDescent="0.35">
      <c r="B5">
        <v>2</v>
      </c>
      <c r="C5">
        <f>$L$3*(($M$3*$N$3+1)^B5)</f>
        <v>156.25</v>
      </c>
      <c r="D5">
        <f>$L$3*(1/(1-$M$3*$N$3))^B5</f>
        <v>177.77777777777777</v>
      </c>
      <c r="E5">
        <f>$L$3*(EXP($M$3*$N$3))^B5</f>
        <v>164.87212707001279</v>
      </c>
      <c r="G5">
        <f>$L$3*(($M$4*$N$3+1)^B5)</f>
        <v>25</v>
      </c>
      <c r="H5">
        <f>$L$3*(1/(1-$M$4*$N$3))^B5</f>
        <v>44.444444444444443</v>
      </c>
      <c r="I5">
        <f>$L$3*(EXP($M$4*$N$3))^B5</f>
        <v>36.787944117144235</v>
      </c>
      <c r="N5">
        <v>25</v>
      </c>
    </row>
    <row r="6" spans="2:19" x14ac:dyDescent="0.35">
      <c r="B6">
        <v>3</v>
      </c>
      <c r="C6">
        <f>$L$3*(($M$3*$N$3+1)^B6)</f>
        <v>195.3125</v>
      </c>
      <c r="D6">
        <f>$L$3*(1/(1-$M$3*$N$3))^B6</f>
        <v>237.03703703703701</v>
      </c>
      <c r="E6">
        <f>$L$3*(EXP($M$3*$N$3))^B6</f>
        <v>211.70000166126744</v>
      </c>
      <c r="G6">
        <f>$L$3*(($M$4*$N$3+1)^B6)</f>
        <v>12.5</v>
      </c>
      <c r="H6">
        <f>$L$3*(1/(1-$M$4*$N$3))^B6</f>
        <v>29.629629629629626</v>
      </c>
      <c r="I6">
        <f>$L$3*(EXP($M$4*$N$3))^B6</f>
        <v>22.313016014842983</v>
      </c>
      <c r="N6">
        <v>15</v>
      </c>
    </row>
    <row r="7" spans="2:19" x14ac:dyDescent="0.35">
      <c r="B7">
        <v>4</v>
      </c>
      <c r="C7">
        <f>$L$3*(($M$3*$N$3+1)^B7)</f>
        <v>244.140625</v>
      </c>
      <c r="D7">
        <f>$L$3*(1/(1-$M$3*$N$3))^B7</f>
        <v>316.04938271604937</v>
      </c>
      <c r="E7">
        <f>$L$3*(EXP($M$3*$N$3))^B7</f>
        <v>271.82818284590445</v>
      </c>
      <c r="G7">
        <f>$L$3*(($M$4*$N$3+1)^B7)</f>
        <v>6.25</v>
      </c>
      <c r="H7">
        <f>$L$3*(1/(1-$M$4*$N$3))^B7</f>
        <v>19.753086419753085</v>
      </c>
      <c r="I7">
        <f>$L$3*(EXP($M$4*$N$3))^B7</f>
        <v>13.533528323661271</v>
      </c>
    </row>
    <row r="8" spans="2:19" x14ac:dyDescent="0.35">
      <c r="B8">
        <v>5</v>
      </c>
      <c r="C8">
        <f>$L$3*(($M$3*$N$3+1)^B8)</f>
        <v>305.17578125</v>
      </c>
      <c r="D8">
        <f>$L$3*(1/(1-$M$3*$N$3))^B8</f>
        <v>421.39917695473247</v>
      </c>
      <c r="E8">
        <f>$L$3*(EXP($M$3*$N$3))^B8</f>
        <v>349.03429574618406</v>
      </c>
      <c r="G8">
        <f>$L$3*(($M$4*$N$3+1)^B8)</f>
        <v>3.125</v>
      </c>
      <c r="H8">
        <f>$L$3*(1/(1-$M$4*$N$3))^B8</f>
        <v>13.16872427983539</v>
      </c>
      <c r="I8">
        <f>$L$3*(EXP($M$4*$N$3))^B8</f>
        <v>8.2084998623898802</v>
      </c>
    </row>
    <row r="12" spans="2:19" x14ac:dyDescent="0.35">
      <c r="B12" t="s">
        <v>0</v>
      </c>
      <c r="C12" t="s">
        <v>8</v>
      </c>
      <c r="D12" t="s">
        <v>6</v>
      </c>
      <c r="E12" t="s">
        <v>5</v>
      </c>
      <c r="G12" t="s">
        <v>9</v>
      </c>
      <c r="H12" t="s">
        <v>7</v>
      </c>
      <c r="I12" t="s">
        <v>4</v>
      </c>
      <c r="L12" t="s">
        <v>0</v>
      </c>
      <c r="M12" t="s">
        <v>8</v>
      </c>
      <c r="N12" t="s">
        <v>6</v>
      </c>
      <c r="O12" t="s">
        <v>5</v>
      </c>
      <c r="Q12" t="s">
        <v>9</v>
      </c>
      <c r="R12" t="s">
        <v>4</v>
      </c>
      <c r="S12" t="s">
        <v>7</v>
      </c>
    </row>
    <row r="13" spans="2:19" x14ac:dyDescent="0.35">
      <c r="B13">
        <v>0</v>
      </c>
      <c r="C13">
        <f>$L$3*(($M$3*$N$5+1)^B13)</f>
        <v>100</v>
      </c>
      <c r="D13">
        <f>$L$3*(1/(1-$M$3*$N$5))^B13</f>
        <v>100</v>
      </c>
      <c r="E13">
        <f>$L$3*(EXP($M$3*$N$5))^B13</f>
        <v>100</v>
      </c>
      <c r="G13">
        <f>$L$3*(($M$4*$N$5+1)^B13)</f>
        <v>100</v>
      </c>
      <c r="H13">
        <f>$L$3*(1/(1-$M$4*$N$5))^B13</f>
        <v>100</v>
      </c>
      <c r="I13">
        <f>$L$3*(EXP($M$4*$N$5))^B13</f>
        <v>100</v>
      </c>
      <c r="L13">
        <v>0</v>
      </c>
      <c r="M13">
        <f>$L$3*(($M$3*$N$4+1)^L13)</f>
        <v>100</v>
      </c>
      <c r="N13">
        <f>$L$3*(1/(1-$M$3*$N$4))^L13</f>
        <v>100</v>
      </c>
      <c r="O13">
        <f>$L$3*(EXP($M$3*$N$4))^L13</f>
        <v>100</v>
      </c>
      <c r="Q13">
        <f>$L$3*(($M$4*$N$4+1)^L13)</f>
        <v>100</v>
      </c>
      <c r="R13">
        <f>$L$3*(EXP($M$4*$N$4))^L13</f>
        <v>100</v>
      </c>
      <c r="S13">
        <f>$L$3*(1/(1-$M$4*$N$4))^L13</f>
        <v>100</v>
      </c>
    </row>
    <row r="14" spans="2:19" x14ac:dyDescent="0.35">
      <c r="B14">
        <v>1</v>
      </c>
      <c r="C14">
        <f>$L$3*(($M$3*$N$5+1)^B14)</f>
        <v>225</v>
      </c>
      <c r="D14">
        <f>$L$3*(1/(1-$M$3*$N$5))^B14</f>
        <v>-400</v>
      </c>
      <c r="E14">
        <f>$L$3*(EXP($M$3*$N$5))^B14</f>
        <v>349.03429574618417</v>
      </c>
      <c r="G14">
        <f>$L$3*(($M$4*$N$5+1)^B14)</f>
        <v>-150</v>
      </c>
      <c r="H14">
        <f>$L$3*(1/(1-$M$4*$N$5))^B14</f>
        <v>28.571428571428569</v>
      </c>
      <c r="I14">
        <f>$L$3*(EXP($M$4*$N$5))^B14</f>
        <v>8.2084998623898802</v>
      </c>
      <c r="L14">
        <v>1</v>
      </c>
      <c r="M14">
        <f>$L$3*(($M$3*$N$4+1)^L14)</f>
        <v>105</v>
      </c>
      <c r="N14">
        <f>$L$3*(1/(1-$M$3*$N$4))^L14</f>
        <v>105.26315789473684</v>
      </c>
      <c r="O14">
        <f>$L$3*(EXP($M$3*$N$4))^L14</f>
        <v>105.12710963760242</v>
      </c>
      <c r="Q14">
        <f>$L$3*(($M$4*$N$4+1)^L14)</f>
        <v>90</v>
      </c>
      <c r="R14">
        <f>$L$3*(EXP($M$4*$N$4))^L14</f>
        <v>90.483741803595947</v>
      </c>
      <c r="S14">
        <f>$L$3*(1/(1-$M$4*$N$4))^L14</f>
        <v>90.909090909090907</v>
      </c>
    </row>
    <row r="15" spans="2:19" x14ac:dyDescent="0.35">
      <c r="L15">
        <v>2</v>
      </c>
      <c r="M15">
        <f>$L$3*(($M$3*$N$4+1)^L15)</f>
        <v>110.25</v>
      </c>
      <c r="N15">
        <f>$L$3*(1/(1-$M$3*$N$4))^L15</f>
        <v>110.80332409972297</v>
      </c>
      <c r="O15">
        <f>$L$3*(EXP($M$3*$N$4))^L15</f>
        <v>110.51709180756477</v>
      </c>
      <c r="Q15">
        <f>$L$3*(($M$4*$N$4+1)^L15)</f>
        <v>81</v>
      </c>
      <c r="R15">
        <f>$L$3*(EXP($M$4*$N$4))^L15</f>
        <v>81.873075307798175</v>
      </c>
      <c r="S15">
        <f>$L$3*(1/(1-$M$4*$N$4))^L15</f>
        <v>82.644628099173545</v>
      </c>
    </row>
    <row r="16" spans="2:19" x14ac:dyDescent="0.35">
      <c r="L16">
        <v>3</v>
      </c>
      <c r="M16">
        <f>$L$3*(($M$3*$N$4+1)^L16)</f>
        <v>115.76250000000002</v>
      </c>
      <c r="N16">
        <f>$L$3*(1/(1-$M$3*$N$4))^L16</f>
        <v>116.63507799970839</v>
      </c>
      <c r="O16">
        <f>$L$3*(EXP($M$3*$N$4))^L16</f>
        <v>116.18342427282833</v>
      </c>
      <c r="Q16">
        <f>$L$3*(($M$4*$N$4+1)^L16)</f>
        <v>72.900000000000006</v>
      </c>
      <c r="R16">
        <f>$L$3*(EXP($M$4*$N$4))^L16</f>
        <v>74.081822068171761</v>
      </c>
      <c r="S16">
        <f>$L$3*(1/(1-$M$4*$N$4))^L16</f>
        <v>75.131480090157766</v>
      </c>
    </row>
    <row r="17" spans="2:19" x14ac:dyDescent="0.35">
      <c r="B17" t="s">
        <v>0</v>
      </c>
      <c r="C17" t="s">
        <v>8</v>
      </c>
      <c r="D17" t="s">
        <v>6</v>
      </c>
      <c r="E17" t="s">
        <v>5</v>
      </c>
      <c r="G17" t="s">
        <v>9</v>
      </c>
      <c r="H17" t="s">
        <v>7</v>
      </c>
      <c r="I17" t="s">
        <v>4</v>
      </c>
      <c r="L17">
        <v>4</v>
      </c>
      <c r="M17">
        <f>$L$3*(($M$3*$N$4+1)^L17)</f>
        <v>121.550625</v>
      </c>
      <c r="N17">
        <f>$L$3*(1/(1-$M$3*$N$4))^L17</f>
        <v>122.77376631548252</v>
      </c>
      <c r="O17">
        <f>$L$3*(EXP($M$3*$N$4))^L17</f>
        <v>122.14027581601701</v>
      </c>
      <c r="Q17">
        <f>$L$3*(($M$4*$N$4+1)^L17)</f>
        <v>65.610000000000014</v>
      </c>
      <c r="R17">
        <f>$L$3*(EXP($M$4*$N$4))^L17</f>
        <v>67.032004603563905</v>
      </c>
      <c r="S17">
        <f>$L$3*(1/(1-$M$4*$N$4))^L17</f>
        <v>68.301345536507057</v>
      </c>
    </row>
    <row r="18" spans="2:19" x14ac:dyDescent="0.35">
      <c r="B18">
        <v>0</v>
      </c>
      <c r="C18">
        <f>$L$3*(($M$3*$N$6+1)^B18)</f>
        <v>100</v>
      </c>
      <c r="D18">
        <f>$L$3*(1/(1-$M$3*$N$6))^B18</f>
        <v>100</v>
      </c>
      <c r="E18">
        <f>$L$3*(EXP($M$3*$N$6))^B18</f>
        <v>100</v>
      </c>
      <c r="G18">
        <f>$L$3*(($M$4*$N$6+1)^B18)</f>
        <v>100</v>
      </c>
      <c r="H18">
        <f>$L$3*(1/(1-$M$4*$N$6))^B18</f>
        <v>100</v>
      </c>
      <c r="I18">
        <f>$L$3*(EXP($M$4*$N$6))^B18</f>
        <v>100</v>
      </c>
      <c r="L18">
        <v>5</v>
      </c>
      <c r="M18">
        <f>$L$3*(($M$3*$N$4+1)^L18)</f>
        <v>127.62815625000002</v>
      </c>
      <c r="N18">
        <f>$L$3*(1/(1-$M$3*$N$4))^L18</f>
        <v>129.23554348998158</v>
      </c>
      <c r="O18">
        <f>$L$3*(EXP($M$3*$N$4))^L18</f>
        <v>128.40254166877418</v>
      </c>
      <c r="Q18">
        <f>$L$3*(($M$4*$N$4+1)^L18)</f>
        <v>59.049000000000021</v>
      </c>
      <c r="R18">
        <f>$L$3*(EXP($M$4*$N$4))^L18</f>
        <v>60.653065971263317</v>
      </c>
      <c r="S18">
        <f>$L$3*(1/(1-$M$4*$N$4))^L18</f>
        <v>62.092132305915506</v>
      </c>
    </row>
    <row r="19" spans="2:19" x14ac:dyDescent="0.35">
      <c r="B19">
        <v>1</v>
      </c>
      <c r="C19">
        <f>$L$3*(($M$3*$N$6+1)^B19)</f>
        <v>175</v>
      </c>
      <c r="D19">
        <f>$L$3*(1/(1-$M$3*$N$6))^B19</f>
        <v>400</v>
      </c>
      <c r="E19">
        <f>$L$3*(EXP($M$3*$N$6))^B19</f>
        <v>211.70000166126749</v>
      </c>
      <c r="G19">
        <f>$L$3*(($M$4*$N$6+1)^B19)</f>
        <v>-50</v>
      </c>
      <c r="H19">
        <f>$L$3*(1/(1-$M$4*$N$6))^B19</f>
        <v>40</v>
      </c>
      <c r="I19">
        <f>$L$3*(EXP($M$4*$N$6))^B19</f>
        <v>22.313016014842983</v>
      </c>
      <c r="L19">
        <v>6</v>
      </c>
      <c r="M19">
        <f>$L$3*(($M$3*$N$4+1)^L19)</f>
        <v>134.0095640625</v>
      </c>
      <c r="N19">
        <f>$L$3*(1/(1-$M$3*$N$4))^L19</f>
        <v>136.03741419998062</v>
      </c>
      <c r="O19">
        <f>$L$3*(EXP($M$3*$N$4))^L19</f>
        <v>134.98588075760034</v>
      </c>
      <c r="Q19">
        <f>$L$3*(($M$4*$N$4+1)^L19)</f>
        <v>53.144100000000016</v>
      </c>
      <c r="R19">
        <f>$L$3*(EXP($M$4*$N$4))^L19</f>
        <v>54.88116360940262</v>
      </c>
      <c r="S19">
        <f>$L$3*(1/(1-$M$4*$N$4))^L19</f>
        <v>56.44739300537772</v>
      </c>
    </row>
    <row r="20" spans="2:19" x14ac:dyDescent="0.35">
      <c r="B20">
        <v>2</v>
      </c>
      <c r="C20">
        <f>$L$3*(($M$3*$N$6+1)^B20)</f>
        <v>306.25</v>
      </c>
      <c r="D20">
        <f>$L$3*(1/(1-$M$3*$N$6))^B20</f>
        <v>1600</v>
      </c>
      <c r="E20">
        <f>$L$3*(EXP($M$3*$N$6))^B20</f>
        <v>448.16890703380653</v>
      </c>
      <c r="G20">
        <f>$L$3*(($M$4*$N$6+1)^B20)</f>
        <v>25</v>
      </c>
      <c r="H20">
        <f>$L$3*(1/(1-$M$4*$N$6))^B20</f>
        <v>16.000000000000004</v>
      </c>
      <c r="I20">
        <f>$L$3*(EXP($M$4*$N$6))^B20</f>
        <v>4.9787068367863938</v>
      </c>
      <c r="L20">
        <v>7</v>
      </c>
      <c r="M20">
        <f>$L$3*(($M$3*$N$4+1)^L20)</f>
        <v>140.71004226562502</v>
      </c>
      <c r="N20">
        <f>$L$3*(1/(1-$M$3*$N$4))^L20</f>
        <v>143.19727810524273</v>
      </c>
      <c r="O20">
        <f>$L$3*(EXP($M$3*$N$4))^L20</f>
        <v>141.90675485932579</v>
      </c>
      <c r="Q20">
        <f>$L$3*(($M$4*$N$4+1)^L20)</f>
        <v>47.829690000000014</v>
      </c>
      <c r="R20">
        <f>$L$3*(EXP($M$4*$N$4))^L20</f>
        <v>49.658530379140927</v>
      </c>
      <c r="S20">
        <f>$L$3*(1/(1-$M$4*$N$4))^L20</f>
        <v>51.315811823070653</v>
      </c>
    </row>
    <row r="21" spans="2:19" x14ac:dyDescent="0.35">
      <c r="L21">
        <v>8</v>
      </c>
      <c r="M21">
        <f>$L$3*(($M$3*$N$4+1)^L21)</f>
        <v>147.74554437890626</v>
      </c>
      <c r="N21">
        <f>$L$3*(1/(1-$M$3*$N$4))^L21</f>
        <v>150.73397695288708</v>
      </c>
      <c r="O21">
        <f>$L$3*(EXP($M$3*$N$4))^L21</f>
        <v>149.18246976412709</v>
      </c>
      <c r="Q21">
        <f>$L$3*(($M$4*$N$4+1)^L21)</f>
        <v>43.046721000000012</v>
      </c>
      <c r="R21">
        <f>$L$3*(EXP($M$4*$N$4))^L21</f>
        <v>44.932896411722133</v>
      </c>
      <c r="S21">
        <f>$L$3*(1/(1-$M$4*$N$4))^L21</f>
        <v>46.650738020973321</v>
      </c>
    </row>
    <row r="22" spans="2:19" x14ac:dyDescent="0.35">
      <c r="L22">
        <v>9</v>
      </c>
      <c r="M22">
        <f>$L$3*(($M$3*$N$4+1)^L22)</f>
        <v>155.13282159785157</v>
      </c>
      <c r="N22">
        <f>$L$3*(1/(1-$M$3*$N$4))^L22</f>
        <v>158.66734416093377</v>
      </c>
      <c r="O22">
        <f>$L$3*(EXP($M$3*$N$4))^L22</f>
        <v>156.83121854901697</v>
      </c>
      <c r="Q22">
        <f>$L$3*(($M$4*$N$4+1)^L22)</f>
        <v>38.742048900000015</v>
      </c>
      <c r="R22">
        <f>$L$3*(EXP($M$4*$N$4))^L22</f>
        <v>40.656965974059887</v>
      </c>
      <c r="S22">
        <f>$L$3*(1/(1-$M$4*$N$4))^L22</f>
        <v>42.409761837248475</v>
      </c>
    </row>
    <row r="23" spans="2:19" x14ac:dyDescent="0.35">
      <c r="L23">
        <v>10</v>
      </c>
      <c r="M23">
        <f>$L$3*(($M$3*$N$4+1)^L23)</f>
        <v>162.88946267774415</v>
      </c>
      <c r="N23">
        <f>$L$3*(1/(1-$M$3*$N$4))^L23</f>
        <v>167.01825701150921</v>
      </c>
      <c r="O23">
        <f>$L$3*(EXP($M$3*$N$4))^L23</f>
        <v>164.87212707001291</v>
      </c>
      <c r="Q23">
        <f>$L$3*(($M$4*$N$4+1)^L23)</f>
        <v>34.867844010000013</v>
      </c>
      <c r="R23">
        <f>$L$3*(EXP($M$4*$N$4))^L23</f>
        <v>36.787944117144207</v>
      </c>
      <c r="S23">
        <f>$L$3*(1/(1-$M$4*$N$4))^L23</f>
        <v>38.554328942953155</v>
      </c>
    </row>
    <row r="24" spans="2:19" x14ac:dyDescent="0.35">
      <c r="L24">
        <v>11</v>
      </c>
      <c r="M24">
        <f>$L$3*(($M$3*$N$4+1)^L24)</f>
        <v>171.03393581163138</v>
      </c>
      <c r="N24">
        <f>$L$3*(1/(1-$M$3*$N$4))^L24</f>
        <v>175.80869159106228</v>
      </c>
      <c r="O24">
        <f>$L$3*(EXP($M$3*$N$4))^L24</f>
        <v>173.32530178673963</v>
      </c>
      <c r="Q24">
        <f>$L$3*(($M$4*$N$4+1)^L24)</f>
        <v>31.381059609000019</v>
      </c>
      <c r="R24">
        <f>$L$3*(EXP($M$4*$N$4))^L24</f>
        <v>33.287108369807925</v>
      </c>
      <c r="S24">
        <f>$L$3*(1/(1-$M$4*$N$4))^L24</f>
        <v>35.049389948139229</v>
      </c>
    </row>
    <row r="25" spans="2:19" x14ac:dyDescent="0.35">
      <c r="L25">
        <v>12</v>
      </c>
      <c r="M25">
        <f>$L$3*(($M$3*$N$4+1)^L25)</f>
        <v>179.58563260221291</v>
      </c>
      <c r="N25">
        <f>$L$3*(1/(1-$M$3*$N$4))^L25</f>
        <v>185.06178062217086</v>
      </c>
      <c r="O25">
        <f>$L$3*(EXP($M$3*$N$4))^L25</f>
        <v>182.21188003905101</v>
      </c>
      <c r="Q25">
        <f>$L$3*(($M$4*$N$4+1)^L25)</f>
        <v>28.242953648100016</v>
      </c>
      <c r="R25">
        <f>$L$3*(EXP($M$4*$N$4))^L25</f>
        <v>30.119421191220187</v>
      </c>
      <c r="S25">
        <f>$L$3*(1/(1-$M$4*$N$4))^L25</f>
        <v>31.863081771035663</v>
      </c>
    </row>
    <row r="26" spans="2:19" x14ac:dyDescent="0.35">
      <c r="L26">
        <v>13</v>
      </c>
      <c r="M26">
        <f>$L$3*(($M$3*$N$4+1)^L26)</f>
        <v>188.56491423232359</v>
      </c>
      <c r="N26">
        <f>$L$3*(1/(1-$M$3*$N$4))^L26</f>
        <v>194.80187433912721</v>
      </c>
      <c r="O26">
        <f>$L$3*(EXP($M$3*$N$4))^L26</f>
        <v>191.55408290138976</v>
      </c>
      <c r="Q26">
        <f>$L$3*(($M$4*$N$4+1)^L26)</f>
        <v>25.418658283290018</v>
      </c>
      <c r="R26">
        <f>$L$3*(EXP($M$4*$N$4))^L26</f>
        <v>27.253179303401236</v>
      </c>
      <c r="S26">
        <f>$L$3*(1/(1-$M$4*$N$4))^L26</f>
        <v>28.966437973668778</v>
      </c>
    </row>
    <row r="27" spans="2:19" x14ac:dyDescent="0.35">
      <c r="L27">
        <v>14</v>
      </c>
      <c r="M27">
        <f>$L$3*(($M$3*$N$4+1)^L27)</f>
        <v>197.99315994393973</v>
      </c>
      <c r="N27">
        <f>$L$3*(1/(1-$M$3*$N$4))^L27</f>
        <v>205.05460456750231</v>
      </c>
      <c r="O27">
        <f>$L$3*(EXP($M$3*$N$4))^L27</f>
        <v>201.37527074704781</v>
      </c>
      <c r="Q27">
        <f>$L$3*(($M$4*$N$4+1)^L27)</f>
        <v>22.876792454961013</v>
      </c>
      <c r="R27">
        <f>$L$3*(EXP($M$4*$N$4))^L27</f>
        <v>24.659696394160623</v>
      </c>
      <c r="S27">
        <f>$L$3*(1/(1-$M$4*$N$4))^L27</f>
        <v>26.333125430607979</v>
      </c>
    </row>
    <row r="28" spans="2:19" x14ac:dyDescent="0.35">
      <c r="L28">
        <v>15</v>
      </c>
      <c r="M28">
        <f>$L$3*(($M$3*$N$4+1)^L28)</f>
        <v>207.8928179411368</v>
      </c>
      <c r="N28">
        <f>$L$3*(1/(1-$M$3*$N$4))^L28</f>
        <v>215.84695217631818</v>
      </c>
      <c r="O28">
        <f>$L$3*(EXP($M$3*$N$4))^L28</f>
        <v>211.70000166126766</v>
      </c>
      <c r="Q28">
        <f>$L$3*(($M$4*$N$4+1)^L28)</f>
        <v>20.589113209464912</v>
      </c>
      <c r="R28">
        <f>$L$3*(EXP($M$4*$N$4))^L28</f>
        <v>22.313016014842958</v>
      </c>
      <c r="S28">
        <f>$L$3*(1/(1-$M$4*$N$4))^L28</f>
        <v>23.939204936916344</v>
      </c>
    </row>
    <row r="29" spans="2:19" x14ac:dyDescent="0.35">
      <c r="L29">
        <v>16</v>
      </c>
      <c r="M29">
        <f>$L$3*(($M$3*$N$4+1)^L29)</f>
        <v>218.2874588381936</v>
      </c>
      <c r="N29">
        <f>$L$3*(1/(1-$M$3*$N$4))^L29</f>
        <v>227.20731808033494</v>
      </c>
      <c r="O29">
        <f>$L$3*(EXP($M$3*$N$4))^L29</f>
        <v>222.55409284924696</v>
      </c>
      <c r="Q29">
        <f>$L$3*(($M$4*$N$4+1)^L29)</f>
        <v>18.530201888518423</v>
      </c>
      <c r="R29">
        <f>$L$3*(EXP($M$4*$N$4))^L29</f>
        <v>20.189651799465519</v>
      </c>
      <c r="S29">
        <f>$L$3*(1/(1-$M$4*$N$4))^L29</f>
        <v>21.76291357901486</v>
      </c>
    </row>
    <row r="30" spans="2:19" x14ac:dyDescent="0.35">
      <c r="L30">
        <v>17</v>
      </c>
      <c r="M30">
        <f>$L$3*(($M$3*$N$4+1)^L30)</f>
        <v>229.2018317801033</v>
      </c>
      <c r="N30">
        <f>$L$3*(1/(1-$M$3*$N$4))^L30</f>
        <v>239.16559797929992</v>
      </c>
      <c r="O30">
        <f>$L$3*(EXP($M$3*$N$4))^L30</f>
        <v>233.96468519259935</v>
      </c>
      <c r="Q30">
        <f>$L$3*(($M$4*$N$4+1)^L30)</f>
        <v>16.677181699666583</v>
      </c>
      <c r="R30">
        <f>$L$3*(EXP($M$4*$N$4))^L30</f>
        <v>18.268352405273443</v>
      </c>
      <c r="S30">
        <f>$L$3*(1/(1-$M$4*$N$4))^L30</f>
        <v>19.784466890013508</v>
      </c>
    </row>
    <row r="31" spans="2:19" x14ac:dyDescent="0.35">
      <c r="L31">
        <v>18</v>
      </c>
      <c r="M31">
        <f>$L$3*(($M$3*$N$4+1)^L31)</f>
        <v>240.66192336910848</v>
      </c>
      <c r="N31">
        <f>$L$3*(1/(1-$M$3*$N$4))^L31</f>
        <v>251.753261030842</v>
      </c>
      <c r="O31">
        <f>$L$3*(EXP($M$3*$N$4))^L31</f>
        <v>245.96031111569522</v>
      </c>
      <c r="Q31">
        <f>$L$3*(($M$4*$N$4+1)^L31)</f>
        <v>15.009463529699923</v>
      </c>
      <c r="R31">
        <f>$L$3*(EXP($M$4*$N$4))^L31</f>
        <v>16.529888822158632</v>
      </c>
      <c r="S31">
        <f>$L$3*(1/(1-$M$4*$N$4))^L31</f>
        <v>17.985878990921371</v>
      </c>
    </row>
    <row r="32" spans="2:19" x14ac:dyDescent="0.35">
      <c r="L32">
        <v>19</v>
      </c>
      <c r="M32">
        <f>$L$3*(($M$3*$N$4+1)^L32)</f>
        <v>252.69501953756389</v>
      </c>
      <c r="N32">
        <f>$L$3*(1/(1-$M$3*$N$4))^L32</f>
        <v>265.00343266404423</v>
      </c>
      <c r="O32">
        <f>$L$3*(EXP($M$3*$N$4))^L32</f>
        <v>258.57096593158491</v>
      </c>
      <c r="Q32">
        <f>$L$3*(($M$4*$N$4+1)^L32)</f>
        <v>13.508517176729933</v>
      </c>
      <c r="R32">
        <f>$L$3*(EXP($M$4*$N$4))^L32</f>
        <v>14.956861922263483</v>
      </c>
      <c r="S32">
        <f>$L$3*(1/(1-$M$4*$N$4))^L32</f>
        <v>16.35079908265579</v>
      </c>
    </row>
    <row r="33" spans="12:19" x14ac:dyDescent="0.35">
      <c r="L33">
        <v>20</v>
      </c>
      <c r="M33">
        <f>$L$3*(($M$3*$N$4+1)^L33)</f>
        <v>265.32977051444209</v>
      </c>
      <c r="N33">
        <f>$L$3*(1/(1-$M$3*$N$4))^L33</f>
        <v>278.95098175162548</v>
      </c>
      <c r="O33">
        <f>$L$3*(EXP($M$3*$N$4))^L33</f>
        <v>271.82818284590485</v>
      </c>
      <c r="Q33">
        <f>$L$3*(($M$4*$N$4+1)^L33)</f>
        <v>12.15766545905694</v>
      </c>
      <c r="R33">
        <f>$L$3*(EXP($M$4*$N$4))^L33</f>
        <v>13.533528323661251</v>
      </c>
      <c r="S33">
        <f>$L$3*(1/(1-$M$4*$N$4))^L33</f>
        <v>14.864362802414352</v>
      </c>
    </row>
    <row r="34" spans="12:19" x14ac:dyDescent="0.35">
      <c r="L34">
        <v>21</v>
      </c>
      <c r="M34">
        <f>$L$3*(($M$3*$N$4+1)^L34)</f>
        <v>278.59625904016417</v>
      </c>
      <c r="N34">
        <f>$L$3*(1/(1-$M$3*$N$4))^L34</f>
        <v>293.63261237013205</v>
      </c>
      <c r="O34">
        <f>$L$3*(EXP($M$3*$N$4))^L34</f>
        <v>285.76511180631672</v>
      </c>
      <c r="Q34">
        <f>$L$3*(($M$4*$N$4+1)^L34)</f>
        <v>10.941898913151247</v>
      </c>
      <c r="R34">
        <f>$L$3*(EXP($M$4*$N$4))^L34</f>
        <v>12.245642825298173</v>
      </c>
      <c r="S34">
        <f>$L$3*(1/(1-$M$4*$N$4))^L34</f>
        <v>13.513057093103958</v>
      </c>
    </row>
    <row r="35" spans="12:19" x14ac:dyDescent="0.35">
      <c r="L35">
        <v>22</v>
      </c>
      <c r="M35">
        <f>$L$3*(($M$3*$N$4+1)^L35)</f>
        <v>292.52607199217238</v>
      </c>
      <c r="N35">
        <f>$L$3*(1/(1-$M$3*$N$4))^L35</f>
        <v>309.08696038961267</v>
      </c>
      <c r="O35">
        <f>$L$3*(EXP($M$3*$N$4))^L35</f>
        <v>300.41660239464363</v>
      </c>
      <c r="Q35">
        <f>$L$3*(($M$4*$N$4+1)^L35)</f>
        <v>9.8477090218361241</v>
      </c>
      <c r="R35">
        <f>$L$3*(EXP($M$4*$N$4))^L35</f>
        <v>11.080315836233371</v>
      </c>
      <c r="S35">
        <f>$L$3*(1/(1-$M$4*$N$4))^L35</f>
        <v>12.284597357367231</v>
      </c>
    </row>
    <row r="36" spans="12:19" x14ac:dyDescent="0.35">
      <c r="L36">
        <v>23</v>
      </c>
      <c r="M36">
        <f>$L$3*(($M$3*$N$4+1)^L36)</f>
        <v>307.15237559178104</v>
      </c>
      <c r="N36">
        <f>$L$3*(1/(1-$M$3*$N$4))^L36</f>
        <v>325.35469514696069</v>
      </c>
      <c r="O36">
        <f>$L$3*(EXP($M$3*$N$4))^L36</f>
        <v>315.81929096897716</v>
      </c>
      <c r="Q36">
        <f>$L$3*(($M$4*$N$4+1)^L36)</f>
        <v>8.8629381196525117</v>
      </c>
      <c r="R36">
        <f>$L$3*(EXP($M$4*$N$4))^L36</f>
        <v>10.025884372280357</v>
      </c>
      <c r="S36">
        <f>$L$3*(1/(1-$M$4*$N$4))^L36</f>
        <v>11.167815779424755</v>
      </c>
    </row>
    <row r="37" spans="12:19" x14ac:dyDescent="0.35">
      <c r="L37">
        <v>24</v>
      </c>
      <c r="M37">
        <f>$L$3*(($M$3*$N$4+1)^L37)</f>
        <v>322.50999437137006</v>
      </c>
      <c r="N37">
        <f>$L$3*(1/(1-$M$3*$N$4))^L37</f>
        <v>342.47862647048493</v>
      </c>
      <c r="O37">
        <f>$L$3*(EXP($M$3*$N$4))^L37</f>
        <v>332.01169227365523</v>
      </c>
      <c r="Q37">
        <f>$L$3*(($M$4*$N$4+1)^L37)</f>
        <v>7.97664430768726</v>
      </c>
      <c r="R37">
        <f>$L$3*(EXP($M$4*$N$4))^L37</f>
        <v>9.0717953289412367</v>
      </c>
      <c r="S37">
        <f>$L$3*(1/(1-$M$4*$N$4))^L37</f>
        <v>10.15255979947705</v>
      </c>
    </row>
    <row r="38" spans="12:19" x14ac:dyDescent="0.35">
      <c r="L38">
        <v>25</v>
      </c>
      <c r="M38">
        <f>$L$3*(($M$3*$N$4+1)^L38)</f>
        <v>338.63549408993856</v>
      </c>
      <c r="N38">
        <f>$L$3*(1/(1-$M$3*$N$4))^L38</f>
        <v>360.50381733735247</v>
      </c>
      <c r="O38">
        <f>$L$3*(EXP($M$3*$N$4))^L38</f>
        <v>349.03429574618463</v>
      </c>
      <c r="Q38">
        <f>$L$3*(($M$4*$N$4+1)^L38)</f>
        <v>7.1789798769185342</v>
      </c>
      <c r="R38">
        <f>$L$3*(EXP($M$4*$N$4))^L38</f>
        <v>8.208499862389866</v>
      </c>
      <c r="S38">
        <f>$L$3*(1/(1-$M$4*$N$4))^L38</f>
        <v>9.2295998177064096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Pleigneur</dc:creator>
  <cp:lastModifiedBy>Florian PLEIGNEUR</cp:lastModifiedBy>
  <dcterms:created xsi:type="dcterms:W3CDTF">2015-06-05T18:19:34Z</dcterms:created>
  <dcterms:modified xsi:type="dcterms:W3CDTF">2026-09-23T14:32:34Z</dcterms:modified>
</cp:coreProperties>
</file>