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\but3\math\projet\moteur_RTS\Maths\"/>
    </mc:Choice>
  </mc:AlternateContent>
  <xr:revisionPtr revIDLastSave="0" documentId="13_ncr:1_{F9D0BEFA-A4B3-4BA4-B256-4A77F218B66A}" xr6:coauthVersionLast="47" xr6:coauthVersionMax="47" xr10:uidLastSave="{00000000-0000-0000-0000-000000000000}"/>
  <bookViews>
    <workbookView xWindow="-110" yWindow="-110" windowWidth="25820" windowHeight="15500" xr2:uid="{1E06FC1D-A06B-4FEF-A425-2CDCA6131B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F3" i="1"/>
  <c r="E3" i="1"/>
  <c r="A3" i="1"/>
  <c r="H2" i="1"/>
  <c r="I2" i="1"/>
  <c r="B3" i="1"/>
  <c r="B4" i="1" l="1"/>
  <c r="A4" i="1"/>
  <c r="E4" i="1" l="1"/>
  <c r="F4" i="1"/>
  <c r="B5" i="1" s="1"/>
  <c r="A5" i="1"/>
  <c r="F5" i="1" l="1"/>
  <c r="B6" i="1" s="1"/>
  <c r="E5" i="1"/>
  <c r="A6" i="1" s="1"/>
  <c r="E6" i="1" s="1"/>
  <c r="F6" i="1" l="1"/>
  <c r="A7" i="1"/>
  <c r="B7" i="1"/>
  <c r="F7" i="1" s="1"/>
  <c r="E7" i="1" l="1"/>
  <c r="A8" i="1" s="1"/>
  <c r="B8" i="1"/>
  <c r="E8" i="1" l="1"/>
  <c r="A9" i="1" s="1"/>
  <c r="F8" i="1"/>
  <c r="B9" i="1" s="1"/>
  <c r="F9" i="1" l="1"/>
  <c r="B10" i="1" s="1"/>
  <c r="E9" i="1"/>
  <c r="A10" i="1"/>
  <c r="E10" i="1" l="1"/>
  <c r="A11" i="1" s="1"/>
  <c r="F10" i="1"/>
  <c r="B11" i="1"/>
  <c r="F11" i="1" l="1"/>
  <c r="B12" i="1" s="1"/>
  <c r="E11" i="1"/>
  <c r="A12" i="1" s="1"/>
  <c r="F12" i="1" l="1"/>
  <c r="B13" i="1" s="1"/>
  <c r="E12" i="1"/>
  <c r="A13" i="1" s="1"/>
  <c r="F13" i="1" l="1"/>
  <c r="B14" i="1" s="1"/>
  <c r="E13" i="1"/>
  <c r="A14" i="1"/>
  <c r="F14" i="1" l="1"/>
  <c r="B15" i="1" s="1"/>
  <c r="E14" i="1"/>
  <c r="A15" i="1" s="1"/>
  <c r="F15" i="1" l="1"/>
  <c r="B16" i="1" s="1"/>
  <c r="E15" i="1"/>
  <c r="A16" i="1" s="1"/>
  <c r="F16" i="1" l="1"/>
  <c r="B17" i="1" s="1"/>
  <c r="E16" i="1"/>
  <c r="A17" i="1" s="1"/>
  <c r="F17" i="1" l="1"/>
  <c r="B18" i="1" s="1"/>
  <c r="F18" i="1" s="1"/>
  <c r="E17" i="1"/>
  <c r="A18" i="1" s="1"/>
  <c r="E18" i="1" l="1"/>
  <c r="A19" i="1" s="1"/>
  <c r="B19" i="1"/>
  <c r="F19" i="1" l="1"/>
  <c r="E19" i="1"/>
  <c r="B20" i="1"/>
  <c r="A20" i="1"/>
  <c r="F20" i="1" l="1"/>
  <c r="E20" i="1"/>
  <c r="A21" i="1"/>
  <c r="B21" i="1"/>
  <c r="F21" i="1" s="1"/>
  <c r="E21" i="1" l="1"/>
  <c r="A22" i="1" s="1"/>
  <c r="B22" i="1"/>
  <c r="F22" i="1" s="1"/>
  <c r="E22" i="1" l="1"/>
  <c r="B23" i="1"/>
  <c r="A23" i="1"/>
  <c r="E23" i="1" s="1"/>
  <c r="F23" i="1" l="1"/>
  <c r="B24" i="1"/>
  <c r="A24" i="1"/>
  <c r="F24" i="1" l="1"/>
  <c r="E24" i="1"/>
  <c r="A25" i="1" s="1"/>
  <c r="B25" i="1"/>
  <c r="E25" i="1" l="1"/>
  <c r="F25" i="1"/>
  <c r="B26" i="1" s="1"/>
  <c r="A26" i="1"/>
  <c r="E26" i="1" l="1"/>
  <c r="A27" i="1" s="1"/>
  <c r="E27" i="1" s="1"/>
  <c r="F26" i="1"/>
  <c r="B27" i="1"/>
  <c r="F27" i="1" l="1"/>
  <c r="A28" i="1"/>
  <c r="B28" i="1"/>
  <c r="F28" i="1" l="1"/>
  <c r="E28" i="1"/>
  <c r="A29" i="1" s="1"/>
  <c r="B29" i="1"/>
  <c r="F29" i="1" l="1"/>
  <c r="B30" i="1" s="1"/>
  <c r="E29" i="1"/>
  <c r="A30" i="1"/>
  <c r="F30" i="1" l="1"/>
  <c r="B31" i="1" s="1"/>
  <c r="E30" i="1"/>
  <c r="A31" i="1" s="1"/>
  <c r="F31" i="1" l="1"/>
  <c r="B32" i="1" s="1"/>
  <c r="E31" i="1"/>
  <c r="A32" i="1"/>
  <c r="E32" i="1" l="1"/>
  <c r="F32" i="1"/>
  <c r="A33" i="1"/>
  <c r="B33" i="1"/>
  <c r="F33" i="1" s="1"/>
  <c r="E33" i="1" l="1"/>
  <c r="A34" i="1" s="1"/>
  <c r="B34" i="1"/>
  <c r="F34" i="1" s="1"/>
  <c r="E34" i="1" l="1"/>
  <c r="A35" i="1" s="1"/>
  <c r="B35" i="1"/>
  <c r="F35" i="1" l="1"/>
  <c r="E35" i="1"/>
  <c r="A36" i="1" s="1"/>
  <c r="B36" i="1"/>
  <c r="E36" i="1" l="1"/>
  <c r="F36" i="1"/>
  <c r="A37" i="1"/>
  <c r="B37" i="1"/>
  <c r="F37" i="1" s="1"/>
  <c r="E37" i="1" l="1"/>
  <c r="A38" i="1" s="1"/>
  <c r="B38" i="1"/>
  <c r="F38" i="1" l="1"/>
  <c r="E38" i="1"/>
  <c r="A39" i="1" s="1"/>
  <c r="B39" i="1"/>
  <c r="E39" i="1" l="1"/>
  <c r="F39" i="1"/>
  <c r="B40" i="1"/>
  <c r="A40" i="1"/>
  <c r="F40" i="1" l="1"/>
  <c r="E40" i="1"/>
  <c r="A41" i="1"/>
  <c r="B41" i="1"/>
  <c r="F41" i="1" s="1"/>
  <c r="E41" i="1" l="1"/>
  <c r="B42" i="1"/>
  <c r="A42" i="1"/>
  <c r="F42" i="1" l="1"/>
  <c r="E42" i="1"/>
  <c r="A43" i="1"/>
  <c r="B43" i="1"/>
  <c r="F43" i="1" s="1"/>
  <c r="E43" i="1" l="1"/>
  <c r="A44" i="1"/>
  <c r="B44" i="1"/>
  <c r="F44" i="1" s="1"/>
  <c r="E44" i="1" l="1"/>
  <c r="B45" i="1"/>
  <c r="A45" i="1"/>
  <c r="E45" i="1" s="1"/>
  <c r="F45" i="1" l="1"/>
  <c r="B46" i="1" s="1"/>
  <c r="A46" i="1"/>
  <c r="F46" i="1" l="1"/>
  <c r="E46" i="1"/>
  <c r="A47" i="1" s="1"/>
  <c r="B47" i="1"/>
  <c r="F47" i="1" s="1"/>
  <c r="E47" i="1" l="1"/>
  <c r="A48" i="1" s="1"/>
  <c r="B48" i="1"/>
  <c r="E48" i="1" l="1"/>
  <c r="F48" i="1"/>
  <c r="B49" i="1" s="1"/>
  <c r="F49" i="1" s="1"/>
  <c r="A49" i="1"/>
  <c r="E49" i="1" l="1"/>
  <c r="A50" i="1" s="1"/>
  <c r="B50" i="1"/>
  <c r="F50" i="1" s="1"/>
  <c r="E50" i="1" l="1"/>
  <c r="A51" i="1"/>
  <c r="B51" i="1"/>
  <c r="F51" i="1" s="1"/>
  <c r="E51" i="1" l="1"/>
  <c r="A52" i="1" s="1"/>
  <c r="B52" i="1"/>
  <c r="F52" i="1" s="1"/>
  <c r="E52" i="1" l="1"/>
  <c r="A53" i="1" s="1"/>
  <c r="B53" i="1"/>
  <c r="F53" i="1" l="1"/>
  <c r="E53" i="1"/>
  <c r="A54" i="1" s="1"/>
  <c r="B54" i="1"/>
  <c r="F54" i="1" l="1"/>
  <c r="B55" i="1" s="1"/>
  <c r="E54" i="1"/>
  <c r="A55" i="1" s="1"/>
  <c r="F55" i="1" l="1"/>
  <c r="E55" i="1"/>
  <c r="A56" i="1" s="1"/>
  <c r="B56" i="1"/>
  <c r="F56" i="1" l="1"/>
  <c r="E56" i="1"/>
  <c r="A57" i="1" s="1"/>
  <c r="B57" i="1"/>
  <c r="F57" i="1" s="1"/>
  <c r="E57" i="1" l="1"/>
  <c r="A58" i="1" s="1"/>
  <c r="B58" i="1"/>
  <c r="F58" i="1" l="1"/>
  <c r="E58" i="1"/>
  <c r="A59" i="1" s="1"/>
  <c r="B59" i="1"/>
  <c r="F59" i="1" s="1"/>
  <c r="E59" i="1" l="1"/>
  <c r="A60" i="1" s="1"/>
  <c r="B60" i="1"/>
  <c r="F60" i="1" l="1"/>
  <c r="E60" i="1"/>
  <c r="A61" i="1"/>
  <c r="B61" i="1"/>
  <c r="F61" i="1" s="1"/>
  <c r="E61" i="1" l="1"/>
  <c r="A62" i="1" s="1"/>
  <c r="B62" i="1"/>
  <c r="F62" i="1" s="1"/>
  <c r="E62" i="1" l="1"/>
  <c r="A63" i="1" s="1"/>
  <c r="B63" i="1"/>
  <c r="F63" i="1" s="1"/>
  <c r="E63" i="1" l="1"/>
  <c r="A64" i="1" s="1"/>
  <c r="B64" i="1"/>
  <c r="F64" i="1" l="1"/>
  <c r="B65" i="1" s="1"/>
  <c r="E64" i="1"/>
  <c r="A65" i="1"/>
  <c r="E65" i="1" l="1"/>
  <c r="F65" i="1"/>
  <c r="A66" i="1"/>
  <c r="B66" i="1"/>
  <c r="F66" i="1" s="1"/>
  <c r="E66" i="1" l="1"/>
  <c r="A67" i="1" s="1"/>
  <c r="B67" i="1"/>
  <c r="F67" i="1" s="1"/>
  <c r="E67" i="1" l="1"/>
  <c r="B68" i="1"/>
  <c r="A68" i="1"/>
  <c r="E68" i="1" s="1"/>
  <c r="F68" i="1" l="1"/>
  <c r="B69" i="1"/>
  <c r="A69" i="1"/>
  <c r="E69" i="1" s="1"/>
  <c r="F69" i="1" l="1"/>
  <c r="B70" i="1"/>
  <c r="A70" i="1"/>
  <c r="E70" i="1" l="1"/>
  <c r="F70" i="1"/>
  <c r="B71" i="1" s="1"/>
  <c r="A71" i="1"/>
  <c r="F71" i="1" l="1"/>
  <c r="E71" i="1"/>
  <c r="B72" i="1"/>
  <c r="A72" i="1"/>
  <c r="E72" i="1" s="1"/>
  <c r="F72" i="1" l="1"/>
  <c r="B73" i="1" s="1"/>
  <c r="A73" i="1"/>
  <c r="F73" i="1" l="1"/>
  <c r="E73" i="1"/>
  <c r="A74" i="1" s="1"/>
  <c r="B74" i="1"/>
  <c r="F74" i="1" l="1"/>
  <c r="B75" i="1" s="1"/>
  <c r="E74" i="1"/>
  <c r="A75" i="1"/>
  <c r="E75" i="1" l="1"/>
  <c r="F75" i="1"/>
  <c r="B76" i="1" s="1"/>
  <c r="A76" i="1"/>
  <c r="F76" i="1" l="1"/>
  <c r="E76" i="1"/>
  <c r="A77" i="1"/>
  <c r="B77" i="1"/>
  <c r="F77" i="1" s="1"/>
  <c r="E77" i="1" l="1"/>
  <c r="A78" i="1" s="1"/>
  <c r="E78" i="1" s="1"/>
  <c r="B78" i="1"/>
  <c r="F78" i="1" l="1"/>
  <c r="A79" i="1"/>
  <c r="B79" i="1"/>
  <c r="F79" i="1" s="1"/>
  <c r="E79" i="1" l="1"/>
  <c r="A80" i="1" s="1"/>
  <c r="B80" i="1"/>
  <c r="F80" i="1" s="1"/>
  <c r="E80" i="1" l="1"/>
  <c r="A81" i="1" s="1"/>
  <c r="B81" i="1"/>
  <c r="F81" i="1" l="1"/>
  <c r="E81" i="1"/>
  <c r="A82" i="1" s="1"/>
  <c r="B82" i="1"/>
  <c r="F82" i="1" s="1"/>
  <c r="E82" i="1" l="1"/>
  <c r="A83" i="1"/>
  <c r="B83" i="1"/>
  <c r="F83" i="1" s="1"/>
  <c r="E83" i="1" l="1"/>
  <c r="A84" i="1" s="1"/>
  <c r="B84" i="1"/>
  <c r="F84" i="1" s="1"/>
  <c r="E84" i="1" l="1"/>
  <c r="A85" i="1" s="1"/>
  <c r="B85" i="1"/>
  <c r="F85" i="1" l="1"/>
  <c r="B86" i="1" s="1"/>
  <c r="E85" i="1"/>
  <c r="A86" i="1" s="1"/>
  <c r="F86" i="1" l="1"/>
  <c r="E86" i="1"/>
  <c r="A87" i="1" s="1"/>
  <c r="B87" i="1"/>
  <c r="F87" i="1" l="1"/>
  <c r="B88" i="1" s="1"/>
  <c r="E87" i="1"/>
  <c r="A88" i="1" s="1"/>
  <c r="F88" i="1" l="1"/>
  <c r="E88" i="1"/>
  <c r="A89" i="1" s="1"/>
  <c r="B89" i="1"/>
  <c r="F89" i="1" l="1"/>
  <c r="B90" i="1" s="1"/>
  <c r="F90" i="1" s="1"/>
  <c r="E89" i="1"/>
  <c r="A90" i="1" s="1"/>
  <c r="E90" i="1" l="1"/>
  <c r="A91" i="1" s="1"/>
  <c r="B91" i="1"/>
  <c r="F91" i="1" l="1"/>
  <c r="B92" i="1" s="1"/>
  <c r="E91" i="1"/>
  <c r="A92" i="1" s="1"/>
  <c r="F92" i="1" l="1"/>
  <c r="B93" i="1" s="1"/>
  <c r="E92" i="1"/>
  <c r="A93" i="1" s="1"/>
  <c r="F93" i="1" l="1"/>
  <c r="B94" i="1" s="1"/>
  <c r="F94" i="1" s="1"/>
  <c r="E93" i="1"/>
  <c r="A94" i="1" s="1"/>
  <c r="E94" i="1" l="1"/>
  <c r="A95" i="1" s="1"/>
  <c r="B95" i="1"/>
  <c r="F95" i="1" l="1"/>
  <c r="B96" i="1" s="1"/>
  <c r="E95" i="1"/>
  <c r="A96" i="1" s="1"/>
  <c r="F96" i="1" l="1"/>
  <c r="E96" i="1"/>
  <c r="A97" i="1" s="1"/>
  <c r="B97" i="1"/>
  <c r="F97" i="1" s="1"/>
  <c r="E97" i="1" l="1"/>
  <c r="B98" i="1"/>
  <c r="A98" i="1"/>
  <c r="E98" i="1" s="1"/>
  <c r="F98" i="1" l="1"/>
  <c r="A99" i="1"/>
  <c r="B99" i="1"/>
  <c r="F99" i="1" s="1"/>
  <c r="E99" i="1" l="1"/>
  <c r="A100" i="1" s="1"/>
  <c r="B100" i="1"/>
  <c r="F100" i="1" l="1"/>
  <c r="E100" i="1"/>
  <c r="A101" i="1" s="1"/>
  <c r="B101" i="1"/>
  <c r="F101" i="1" s="1"/>
  <c r="E101" i="1" l="1"/>
  <c r="A102" i="1" s="1"/>
  <c r="B102" i="1"/>
  <c r="E102" i="1" l="1"/>
  <c r="F102" i="1"/>
  <c r="B103" i="1"/>
  <c r="A103" i="1"/>
  <c r="E103" i="1" s="1"/>
  <c r="F103" i="1" l="1"/>
  <c r="A104" i="1"/>
  <c r="B104" i="1"/>
  <c r="F104" i="1" s="1"/>
  <c r="E104" i="1" l="1"/>
  <c r="A105" i="1" s="1"/>
  <c r="B105" i="1"/>
  <c r="F105" i="1" s="1"/>
  <c r="E105" i="1" l="1"/>
  <c r="A106" i="1" s="1"/>
  <c r="E106" i="1" s="1"/>
  <c r="B106" i="1"/>
  <c r="F106" i="1" l="1"/>
  <c r="B107" i="1" s="1"/>
  <c r="A107" i="1"/>
  <c r="F107" i="1" l="1"/>
  <c r="B108" i="1" s="1"/>
  <c r="E107" i="1"/>
  <c r="A108" i="1" s="1"/>
  <c r="F108" i="1" l="1"/>
  <c r="E108" i="1"/>
  <c r="A109" i="1" s="1"/>
  <c r="B109" i="1"/>
  <c r="F109" i="1" l="1"/>
  <c r="E109" i="1"/>
  <c r="A110" i="1"/>
  <c r="B110" i="1"/>
  <c r="F110" i="1" s="1"/>
  <c r="E110" i="1" l="1"/>
  <c r="B111" i="1"/>
  <c r="A111" i="1"/>
  <c r="E111" i="1" s="1"/>
  <c r="F111" i="1" l="1"/>
  <c r="A112" i="1"/>
  <c r="B112" i="1"/>
  <c r="F112" i="1" s="1"/>
  <c r="E112" i="1" l="1"/>
  <c r="A113" i="1" s="1"/>
  <c r="B113" i="1"/>
  <c r="F113" i="1" l="1"/>
  <c r="E113" i="1"/>
  <c r="B114" i="1"/>
  <c r="A114" i="1"/>
  <c r="E114" i="1" s="1"/>
  <c r="F114" i="1" l="1"/>
  <c r="B115" i="1"/>
  <c r="A115" i="1"/>
  <c r="F115" i="1" l="1"/>
  <c r="E115" i="1"/>
  <c r="A116" i="1" s="1"/>
  <c r="B116" i="1"/>
  <c r="F116" i="1" l="1"/>
  <c r="E116" i="1"/>
  <c r="B117" i="1"/>
  <c r="A117" i="1"/>
  <c r="E117" i="1" s="1"/>
  <c r="F117" i="1" l="1"/>
  <c r="B118" i="1"/>
  <c r="A118" i="1"/>
  <c r="F118" i="1" l="1"/>
  <c r="B119" i="1" s="1"/>
  <c r="E118" i="1"/>
  <c r="A119" i="1" s="1"/>
  <c r="F119" i="1" l="1"/>
  <c r="E119" i="1"/>
  <c r="B120" i="1"/>
  <c r="A120" i="1"/>
  <c r="E120" i="1" l="1"/>
  <c r="F120" i="1"/>
  <c r="B121" i="1" s="1"/>
  <c r="A121" i="1"/>
  <c r="F121" i="1" l="1"/>
  <c r="E121" i="1"/>
  <c r="A122" i="1"/>
  <c r="B122" i="1"/>
  <c r="F122" i="1" s="1"/>
  <c r="E122" i="1" l="1"/>
  <c r="A123" i="1" s="1"/>
  <c r="B123" i="1"/>
  <c r="F123" i="1" s="1"/>
  <c r="E123" i="1" l="1"/>
  <c r="A124" i="1" s="1"/>
  <c r="B124" i="1"/>
  <c r="E124" i="1" l="1"/>
  <c r="F124" i="1"/>
  <c r="A125" i="1"/>
  <c r="B125" i="1"/>
  <c r="F125" i="1" s="1"/>
  <c r="E125" i="1" l="1"/>
  <c r="A126" i="1" s="1"/>
  <c r="B126" i="1"/>
  <c r="F126" i="1" s="1"/>
  <c r="E126" i="1" l="1"/>
  <c r="A127" i="1" s="1"/>
  <c r="B127" i="1"/>
  <c r="F127" i="1" l="1"/>
  <c r="E127" i="1"/>
  <c r="A128" i="1" s="1"/>
  <c r="B128" i="1"/>
  <c r="F128" i="1" s="1"/>
  <c r="E128" i="1" l="1"/>
  <c r="B129" i="1"/>
  <c r="A129" i="1"/>
  <c r="E129" i="1" s="1"/>
  <c r="F129" i="1" l="1"/>
  <c r="B130" i="1" s="1"/>
  <c r="A130" i="1"/>
  <c r="F130" i="1" l="1"/>
  <c r="E130" i="1"/>
  <c r="A131" i="1" s="1"/>
  <c r="B131" i="1"/>
  <c r="F131" i="1" s="1"/>
  <c r="E131" i="1" l="1"/>
  <c r="B132" i="1"/>
  <c r="A132" i="1"/>
  <c r="E132" i="1" s="1"/>
  <c r="F132" i="1" l="1"/>
  <c r="B133" i="1"/>
  <c r="A133" i="1"/>
  <c r="F133" i="1" l="1"/>
  <c r="E133" i="1"/>
  <c r="A134" i="1" s="1"/>
  <c r="B134" i="1"/>
  <c r="F134" i="1" l="1"/>
  <c r="E134" i="1"/>
  <c r="A135" i="1"/>
  <c r="B135" i="1"/>
  <c r="F135" i="1" l="1"/>
  <c r="B136" i="1" s="1"/>
  <c r="E135" i="1"/>
  <c r="A136" i="1" s="1"/>
  <c r="F136" i="1" l="1"/>
  <c r="B137" i="1" s="1"/>
  <c r="E136" i="1"/>
  <c r="A137" i="1" s="1"/>
  <c r="E137" i="1" l="1"/>
  <c r="F137" i="1"/>
  <c r="B138" i="1"/>
  <c r="A138" i="1"/>
  <c r="E138" i="1" s="1"/>
  <c r="A139" i="1" l="1"/>
  <c r="F138" i="1"/>
  <c r="B139" i="1" s="1"/>
  <c r="F139" i="1" l="1"/>
  <c r="B140" i="1"/>
  <c r="E139" i="1"/>
  <c r="A140" i="1" s="1"/>
  <c r="E140" i="1" s="1"/>
  <c r="A141" i="1"/>
  <c r="F140" i="1" l="1"/>
  <c r="B141" i="1" s="1"/>
  <c r="F141" i="1" s="1"/>
  <c r="B142" i="1" s="1"/>
  <c r="E141" i="1" l="1"/>
  <c r="A142" i="1" s="1"/>
  <c r="E142" i="1" s="1"/>
  <c r="A143" i="1" l="1"/>
  <c r="F142" i="1"/>
  <c r="B143" i="1" s="1"/>
  <c r="F143" i="1" s="1"/>
  <c r="E143" i="1"/>
  <c r="A144" i="1" s="1"/>
  <c r="B144" i="1"/>
  <c r="F144" i="1" s="1"/>
  <c r="E144" i="1" l="1"/>
  <c r="A145" i="1"/>
  <c r="B145" i="1"/>
  <c r="F145" i="1" s="1"/>
  <c r="E145" i="1" l="1"/>
  <c r="A146" i="1" s="1"/>
  <c r="B146" i="1"/>
  <c r="F146" i="1" l="1"/>
  <c r="E146" i="1"/>
  <c r="B147" i="1"/>
  <c r="A147" i="1"/>
  <c r="E147" i="1" s="1"/>
  <c r="F147" i="1" l="1"/>
  <c r="A148" i="1"/>
  <c r="B148" i="1"/>
  <c r="F148" i="1" s="1"/>
  <c r="E148" i="1" l="1"/>
  <c r="A149" i="1"/>
  <c r="B149" i="1"/>
  <c r="F149" i="1" s="1"/>
  <c r="E149" i="1" l="1"/>
  <c r="A150" i="1"/>
  <c r="B150" i="1"/>
  <c r="F150" i="1" s="1"/>
  <c r="E150" i="1" l="1"/>
  <c r="A151" i="1"/>
  <c r="B151" i="1"/>
  <c r="F151" i="1" s="1"/>
  <c r="E151" i="1" l="1"/>
  <c r="A152" i="1" s="1"/>
  <c r="B152" i="1"/>
  <c r="F152" i="1" l="1"/>
  <c r="B153" i="1" s="1"/>
  <c r="E152" i="1"/>
  <c r="A153" i="1" s="1"/>
  <c r="F153" i="1" l="1"/>
  <c r="E153" i="1"/>
  <c r="A154" i="1" s="1"/>
  <c r="B154" i="1"/>
  <c r="F154" i="1" s="1"/>
  <c r="E154" i="1" l="1"/>
  <c r="A155" i="1" s="1"/>
  <c r="B155" i="1"/>
  <c r="F155" i="1" l="1"/>
  <c r="B156" i="1" s="1"/>
  <c r="F156" i="1" s="1"/>
  <c r="E155" i="1"/>
  <c r="A156" i="1" s="1"/>
  <c r="E156" i="1" l="1"/>
  <c r="A157" i="1" s="1"/>
  <c r="B157" i="1"/>
  <c r="F157" i="1" s="1"/>
  <c r="E157" i="1" l="1"/>
  <c r="A158" i="1" s="1"/>
  <c r="B158" i="1"/>
  <c r="E158" i="1" l="1"/>
  <c r="F158" i="1"/>
  <c r="B159" i="1" s="1"/>
  <c r="A159" i="1"/>
  <c r="E159" i="1" l="1"/>
  <c r="F159" i="1"/>
  <c r="B160" i="1" s="1"/>
  <c r="A160" i="1"/>
  <c r="F160" i="1" l="1"/>
  <c r="E160" i="1"/>
  <c r="A161" i="1" s="1"/>
  <c r="B161" i="1"/>
  <c r="F161" i="1" l="1"/>
  <c r="E161" i="1"/>
  <c r="A162" i="1" s="1"/>
  <c r="B162" i="1"/>
  <c r="F162" i="1" s="1"/>
  <c r="E162" i="1" l="1"/>
  <c r="A163" i="1" s="1"/>
  <c r="B163" i="1"/>
  <c r="E163" i="1" l="1"/>
  <c r="F163" i="1"/>
  <c r="B164" i="1" s="1"/>
  <c r="F164" i="1" s="1"/>
  <c r="A164" i="1"/>
  <c r="E164" i="1" l="1"/>
  <c r="A165" i="1"/>
  <c r="B165" i="1"/>
  <c r="F165" i="1" s="1"/>
  <c r="E165" i="1" l="1"/>
  <c r="A166" i="1"/>
  <c r="B166" i="1"/>
  <c r="F166" i="1" s="1"/>
  <c r="E166" i="1" l="1"/>
  <c r="A167" i="1" s="1"/>
  <c r="B167" i="1"/>
  <c r="F167" i="1" l="1"/>
  <c r="B168" i="1" s="1"/>
  <c r="E167" i="1"/>
  <c r="A168" i="1"/>
  <c r="F168" i="1" l="1"/>
  <c r="E168" i="1"/>
  <c r="A169" i="1" s="1"/>
  <c r="B169" i="1"/>
  <c r="F169" i="1" s="1"/>
  <c r="E169" i="1" l="1"/>
  <c r="A170" i="1"/>
  <c r="B170" i="1"/>
  <c r="F170" i="1" s="1"/>
  <c r="E170" i="1" l="1"/>
  <c r="A171" i="1"/>
  <c r="B171" i="1"/>
  <c r="F171" i="1" s="1"/>
  <c r="E171" i="1" l="1"/>
  <c r="A172" i="1"/>
  <c r="B172" i="1"/>
  <c r="F172" i="1" s="1"/>
  <c r="E172" i="1" l="1"/>
  <c r="A173" i="1" s="1"/>
  <c r="B173" i="1"/>
  <c r="F173" i="1" l="1"/>
  <c r="E173" i="1"/>
  <c r="A174" i="1" s="1"/>
  <c r="B174" i="1"/>
  <c r="F174" i="1" s="1"/>
  <c r="E174" i="1" l="1"/>
  <c r="A175" i="1"/>
  <c r="B175" i="1"/>
  <c r="F175" i="1" s="1"/>
  <c r="E175" i="1" l="1"/>
  <c r="A176" i="1" s="1"/>
  <c r="B176" i="1"/>
  <c r="F176" i="1" s="1"/>
  <c r="E176" i="1" l="1"/>
  <c r="A177" i="1" s="1"/>
  <c r="B177" i="1"/>
  <c r="F177" i="1" s="1"/>
  <c r="E177" i="1" l="1"/>
  <c r="A178" i="1" s="1"/>
  <c r="B178" i="1"/>
  <c r="F178" i="1" l="1"/>
  <c r="E178" i="1"/>
  <c r="A179" i="1" s="1"/>
  <c r="B179" i="1"/>
  <c r="F179" i="1" l="1"/>
  <c r="E179" i="1"/>
  <c r="A180" i="1" s="1"/>
  <c r="B180" i="1"/>
  <c r="F180" i="1" l="1"/>
  <c r="E180" i="1"/>
  <c r="A181" i="1" s="1"/>
  <c r="B181" i="1"/>
  <c r="F181" i="1" s="1"/>
  <c r="E181" i="1" l="1"/>
  <c r="B182" i="1"/>
  <c r="A182" i="1"/>
  <c r="F182" i="1" l="1"/>
  <c r="B183" i="1" s="1"/>
  <c r="E182" i="1"/>
  <c r="A183" i="1"/>
  <c r="F183" i="1" l="1"/>
  <c r="B184" i="1" s="1"/>
  <c r="E183" i="1"/>
  <c r="A184" i="1" s="1"/>
  <c r="F184" i="1" l="1"/>
  <c r="E184" i="1"/>
  <c r="A185" i="1" s="1"/>
  <c r="B185" i="1"/>
  <c r="F185" i="1" l="1"/>
  <c r="E185" i="1"/>
  <c r="A186" i="1" s="1"/>
  <c r="B186" i="1"/>
  <c r="F186" i="1" s="1"/>
  <c r="E186" i="1" l="1"/>
  <c r="A187" i="1" s="1"/>
  <c r="B187" i="1"/>
  <c r="F187" i="1" l="1"/>
  <c r="B188" i="1" s="1"/>
  <c r="E187" i="1"/>
  <c r="A188" i="1" s="1"/>
  <c r="E188" i="1" l="1"/>
  <c r="F188" i="1"/>
  <c r="B189" i="1" s="1"/>
  <c r="A189" i="1"/>
  <c r="F189" i="1" l="1"/>
  <c r="B190" i="1" s="1"/>
  <c r="F190" i="1" s="1"/>
  <c r="E189" i="1"/>
  <c r="A190" i="1"/>
  <c r="E190" i="1" l="1"/>
  <c r="A191" i="1" s="1"/>
  <c r="B191" i="1"/>
  <c r="F191" i="1" l="1"/>
  <c r="E191" i="1"/>
  <c r="A192" i="1" s="1"/>
  <c r="B192" i="1"/>
  <c r="F192" i="1" l="1"/>
  <c r="B193" i="1" s="1"/>
  <c r="F193" i="1" s="1"/>
  <c r="E192" i="1"/>
  <c r="A193" i="1" s="1"/>
  <c r="E193" i="1" l="1"/>
  <c r="B194" i="1"/>
  <c r="A194" i="1"/>
  <c r="E194" i="1" s="1"/>
  <c r="F194" i="1" l="1"/>
  <c r="B195" i="1"/>
  <c r="A195" i="1"/>
  <c r="E195" i="1" s="1"/>
  <c r="F195" i="1" l="1"/>
  <c r="A196" i="1"/>
  <c r="B196" i="1"/>
  <c r="F196" i="1" l="1"/>
  <c r="E196" i="1"/>
  <c r="A197" i="1"/>
  <c r="B197" i="1"/>
  <c r="F197" i="1" s="1"/>
  <c r="E197" i="1" l="1"/>
  <c r="A198" i="1" s="1"/>
  <c r="E198" i="1" s="1"/>
  <c r="B198" i="1"/>
  <c r="F198" i="1" l="1"/>
  <c r="B199" i="1" s="1"/>
  <c r="A199" i="1"/>
  <c r="F199" i="1" l="1"/>
  <c r="E199" i="1"/>
  <c r="A200" i="1"/>
  <c r="B200" i="1"/>
  <c r="F200" i="1" l="1"/>
  <c r="E200" i="1"/>
  <c r="A201" i="1"/>
  <c r="B201" i="1"/>
  <c r="F201" i="1" s="1"/>
  <c r="E201" i="1" l="1"/>
  <c r="B202" i="1"/>
  <c r="A202" i="1"/>
  <c r="F202" i="1" l="1"/>
  <c r="E202" i="1"/>
  <c r="B203" i="1"/>
  <c r="A203" i="1"/>
  <c r="E203" i="1" s="1"/>
  <c r="F203" i="1" l="1"/>
  <c r="B204" i="1"/>
  <c r="A204" i="1"/>
  <c r="F204" i="1" l="1"/>
  <c r="E204" i="1"/>
  <c r="B205" i="1"/>
  <c r="A205" i="1"/>
  <c r="E205" i="1" s="1"/>
  <c r="F205" i="1" l="1"/>
  <c r="A206" i="1"/>
  <c r="B206" i="1"/>
  <c r="F206" i="1" s="1"/>
  <c r="E206" i="1" l="1"/>
  <c r="A207" i="1" s="1"/>
  <c r="B207" i="1"/>
  <c r="F207" i="1" l="1"/>
  <c r="E207" i="1"/>
  <c r="A208" i="1" s="1"/>
  <c r="B208" i="1"/>
  <c r="F208" i="1" l="1"/>
  <c r="B209" i="1" s="1"/>
  <c r="E208" i="1"/>
  <c r="A209" i="1" s="1"/>
  <c r="F209" i="1" l="1"/>
  <c r="B210" i="1" s="1"/>
  <c r="E209" i="1"/>
  <c r="A210" i="1" s="1"/>
  <c r="F210" i="1" l="1"/>
  <c r="E210" i="1"/>
  <c r="B211" i="1"/>
  <c r="A211" i="1"/>
  <c r="E211" i="1" s="1"/>
  <c r="F211" i="1" l="1"/>
  <c r="B212" i="1" s="1"/>
  <c r="A212" i="1"/>
  <c r="F212" i="1" l="1"/>
  <c r="E212" i="1"/>
  <c r="B213" i="1"/>
  <c r="A213" i="1"/>
  <c r="E213" i="1" s="1"/>
  <c r="F213" i="1" l="1"/>
  <c r="A214" i="1"/>
  <c r="B214" i="1"/>
  <c r="F214" i="1" s="1"/>
  <c r="E214" i="1" l="1"/>
  <c r="A215" i="1" s="1"/>
  <c r="B215" i="1"/>
  <c r="F215" i="1" s="1"/>
  <c r="E215" i="1" l="1"/>
  <c r="B216" i="1"/>
  <c r="A216" i="1"/>
  <c r="E216" i="1" s="1"/>
  <c r="F216" i="1" l="1"/>
  <c r="B217" i="1" s="1"/>
  <c r="A217" i="1"/>
  <c r="E217" i="1" l="1"/>
  <c r="F217" i="1"/>
  <c r="A218" i="1"/>
  <c r="B218" i="1"/>
  <c r="F218" i="1" s="1"/>
  <c r="E218" i="1" l="1"/>
  <c r="A219" i="1" s="1"/>
  <c r="B219" i="1"/>
  <c r="F219" i="1" l="1"/>
  <c r="B220" i="1" s="1"/>
  <c r="E219" i="1"/>
  <c r="A220" i="1" s="1"/>
  <c r="F220" i="1" l="1"/>
  <c r="E220" i="1"/>
  <c r="A221" i="1" s="1"/>
  <c r="B221" i="1"/>
  <c r="E221" i="1" l="1"/>
  <c r="A222" i="1" s="1"/>
  <c r="F221" i="1"/>
  <c r="B222" i="1"/>
  <c r="F222" i="1" l="1"/>
  <c r="E222" i="1"/>
  <c r="A223" i="1"/>
  <c r="B223" i="1"/>
  <c r="F223" i="1" s="1"/>
  <c r="E223" i="1" l="1"/>
  <c r="A224" i="1" s="1"/>
  <c r="B224" i="1"/>
  <c r="F224" i="1" l="1"/>
  <c r="B225" i="1" s="1"/>
  <c r="F225" i="1" s="1"/>
  <c r="E224" i="1"/>
  <c r="A225" i="1" s="1"/>
  <c r="E225" i="1" l="1"/>
  <c r="B226" i="1"/>
  <c r="A226" i="1"/>
  <c r="E226" i="1" s="1"/>
  <c r="F226" i="1" l="1"/>
  <c r="B227" i="1" s="1"/>
  <c r="A227" i="1"/>
  <c r="E227" i="1" l="1"/>
  <c r="F227" i="1"/>
  <c r="A228" i="1"/>
  <c r="B228" i="1"/>
  <c r="F228" i="1" s="1"/>
  <c r="E228" i="1" l="1"/>
  <c r="B229" i="1"/>
  <c r="A229" i="1"/>
  <c r="E229" i="1" s="1"/>
  <c r="F229" i="1" l="1"/>
  <c r="B230" i="1"/>
  <c r="A230" i="1"/>
  <c r="F230" i="1" l="1"/>
  <c r="E230" i="1"/>
  <c r="B231" i="1"/>
  <c r="A231" i="1"/>
  <c r="E231" i="1" s="1"/>
  <c r="F231" i="1" l="1"/>
  <c r="A232" i="1"/>
  <c r="B232" i="1"/>
  <c r="F232" i="1" s="1"/>
  <c r="E232" i="1" l="1"/>
  <c r="A233" i="1"/>
  <c r="B233" i="1"/>
  <c r="F233" i="1" s="1"/>
  <c r="E233" i="1" l="1"/>
  <c r="A234" i="1" s="1"/>
  <c r="B234" i="1"/>
  <c r="F234" i="1" l="1"/>
  <c r="E234" i="1"/>
  <c r="A235" i="1" s="1"/>
  <c r="B235" i="1"/>
  <c r="F235" i="1" l="1"/>
  <c r="E235" i="1"/>
  <c r="B236" i="1"/>
  <c r="A236" i="1"/>
  <c r="E236" i="1" s="1"/>
  <c r="F236" i="1" l="1"/>
  <c r="B237" i="1" s="1"/>
  <c r="A237" i="1"/>
  <c r="F237" i="1" l="1"/>
  <c r="E237" i="1"/>
  <c r="A238" i="1"/>
  <c r="B238" i="1"/>
  <c r="F238" i="1" s="1"/>
  <c r="E238" i="1" l="1"/>
  <c r="A239" i="1" s="1"/>
  <c r="B239" i="1"/>
  <c r="F239" i="1" l="1"/>
  <c r="E239" i="1"/>
  <c r="A240" i="1" s="1"/>
  <c r="B240" i="1"/>
  <c r="F240" i="1" s="1"/>
  <c r="E240" i="1" l="1"/>
  <c r="A241" i="1" s="1"/>
  <c r="B241" i="1"/>
  <c r="E241" i="1" l="1"/>
  <c r="F241" i="1"/>
  <c r="B242" i="1" s="1"/>
  <c r="A242" i="1"/>
  <c r="F242" i="1" l="1"/>
  <c r="E242" i="1"/>
  <c r="A243" i="1" s="1"/>
  <c r="B243" i="1"/>
  <c r="F243" i="1" s="1"/>
  <c r="E243" i="1" l="1"/>
  <c r="A244" i="1" s="1"/>
  <c r="B244" i="1"/>
  <c r="F244" i="1" l="1"/>
  <c r="B245" i="1" s="1"/>
  <c r="E244" i="1"/>
  <c r="A245" i="1" s="1"/>
  <c r="E245" i="1" s="1"/>
  <c r="F245" i="1" l="1"/>
  <c r="B246" i="1" s="1"/>
  <c r="E246" i="1" s="1"/>
  <c r="A247" i="1" s="1"/>
  <c r="A246" i="1"/>
  <c r="F246" i="1" l="1"/>
  <c r="B247" i="1" s="1"/>
  <c r="F247" i="1" s="1"/>
  <c r="E247" i="1"/>
  <c r="B248" i="1"/>
  <c r="A248" i="1"/>
  <c r="E248" i="1" s="1"/>
  <c r="F248" i="1" l="1"/>
  <c r="B249" i="1"/>
  <c r="A249" i="1"/>
  <c r="F249" i="1" l="1"/>
  <c r="E249" i="1"/>
  <c r="A250" i="1" s="1"/>
  <c r="B250" i="1"/>
  <c r="F250" i="1" l="1"/>
  <c r="E250" i="1"/>
  <c r="A251" i="1" s="1"/>
  <c r="B251" i="1"/>
  <c r="F251" i="1" s="1"/>
  <c r="E251" i="1" l="1"/>
  <c r="A252" i="1" s="1"/>
  <c r="B252" i="1"/>
  <c r="E252" i="1" l="1"/>
  <c r="F252" i="1"/>
  <c r="A253" i="1"/>
  <c r="B253" i="1"/>
  <c r="F253" i="1" s="1"/>
  <c r="E253" i="1" l="1"/>
  <c r="A254" i="1" s="1"/>
  <c r="E254" i="1" s="1"/>
  <c r="B254" i="1"/>
  <c r="F254" i="1" l="1"/>
  <c r="B255" i="1" s="1"/>
  <c r="A255" i="1"/>
  <c r="F255" i="1" l="1"/>
  <c r="E255" i="1"/>
  <c r="A256" i="1" s="1"/>
  <c r="B256" i="1"/>
  <c r="F256" i="1" l="1"/>
  <c r="E256" i="1"/>
  <c r="A257" i="1"/>
  <c r="B257" i="1"/>
  <c r="F257" i="1" s="1"/>
  <c r="E257" i="1" l="1"/>
  <c r="A258" i="1" s="1"/>
  <c r="B258" i="1"/>
  <c r="F258" i="1" l="1"/>
  <c r="E258" i="1"/>
  <c r="B259" i="1"/>
  <c r="A259" i="1"/>
  <c r="E259" i="1" s="1"/>
  <c r="F259" i="1" l="1"/>
  <c r="B260" i="1"/>
  <c r="A260" i="1"/>
  <c r="E260" i="1" s="1"/>
  <c r="F260" i="1" l="1"/>
  <c r="A261" i="1"/>
  <c r="B261" i="1"/>
  <c r="F261" i="1" s="1"/>
  <c r="E261" i="1" l="1"/>
  <c r="A262" i="1" s="1"/>
  <c r="B262" i="1"/>
  <c r="F262" i="1" l="1"/>
  <c r="E262" i="1"/>
  <c r="A263" i="1" s="1"/>
  <c r="B263" i="1"/>
  <c r="F263" i="1" s="1"/>
  <c r="E263" i="1" l="1"/>
  <c r="A264" i="1" s="1"/>
  <c r="B264" i="1"/>
  <c r="F264" i="1" l="1"/>
  <c r="E264" i="1"/>
  <c r="A265" i="1" s="1"/>
  <c r="B265" i="1"/>
  <c r="F265" i="1" s="1"/>
  <c r="E265" i="1" l="1"/>
  <c r="B266" i="1"/>
  <c r="A266" i="1"/>
  <c r="F266" i="1" l="1"/>
  <c r="E266" i="1"/>
  <c r="B267" i="1"/>
  <c r="A267" i="1"/>
  <c r="F267" i="1" l="1"/>
  <c r="E267" i="1"/>
  <c r="A268" i="1" s="1"/>
  <c r="B268" i="1"/>
  <c r="F268" i="1" s="1"/>
  <c r="E268" i="1" l="1"/>
  <c r="B269" i="1"/>
  <c r="A269" i="1"/>
  <c r="E269" i="1" s="1"/>
  <c r="F269" i="1" l="1"/>
  <c r="B270" i="1" s="1"/>
  <c r="A270" i="1"/>
  <c r="F270" i="1" l="1"/>
  <c r="E270" i="1"/>
  <c r="B271" i="1"/>
  <c r="A271" i="1"/>
  <c r="E271" i="1" s="1"/>
  <c r="F271" i="1" l="1"/>
  <c r="B272" i="1" s="1"/>
  <c r="A272" i="1"/>
  <c r="E272" i="1" l="1"/>
  <c r="F272" i="1"/>
  <c r="A273" i="1"/>
  <c r="B273" i="1"/>
  <c r="F273" i="1" s="1"/>
  <c r="E273" i="1" l="1"/>
  <c r="A274" i="1" s="1"/>
  <c r="B274" i="1"/>
  <c r="F274" i="1" s="1"/>
  <c r="E274" i="1" l="1"/>
  <c r="B275" i="1"/>
  <c r="A275" i="1"/>
  <c r="E275" i="1" s="1"/>
  <c r="F275" i="1" l="1"/>
  <c r="B276" i="1" s="1"/>
  <c r="A276" i="1"/>
  <c r="E276" i="1" l="1"/>
  <c r="A277" i="1" s="1"/>
  <c r="F276" i="1"/>
  <c r="B277" i="1"/>
  <c r="F277" i="1" l="1"/>
  <c r="E277" i="1"/>
  <c r="A278" i="1" s="1"/>
  <c r="B278" i="1"/>
  <c r="F278" i="1" s="1"/>
  <c r="E278" i="1" l="1"/>
  <c r="A279" i="1" s="1"/>
  <c r="E279" i="1" s="1"/>
  <c r="B279" i="1"/>
  <c r="F279" i="1" l="1"/>
  <c r="B280" i="1" s="1"/>
  <c r="A280" i="1"/>
  <c r="E280" i="1" l="1"/>
  <c r="F280" i="1"/>
  <c r="B281" i="1" s="1"/>
  <c r="A281" i="1"/>
  <c r="F281" i="1" l="1"/>
  <c r="E281" i="1"/>
  <c r="A282" i="1" s="1"/>
  <c r="B282" i="1"/>
  <c r="F282" i="1" l="1"/>
  <c r="E282" i="1"/>
  <c r="A283" i="1" s="1"/>
  <c r="B283" i="1"/>
  <c r="F283" i="1" s="1"/>
  <c r="E283" i="1" l="1"/>
  <c r="A284" i="1" s="1"/>
  <c r="B284" i="1"/>
  <c r="F284" i="1" s="1"/>
  <c r="E284" i="1" l="1"/>
  <c r="A285" i="1" s="1"/>
  <c r="B285" i="1"/>
  <c r="F285" i="1" l="1"/>
  <c r="E285" i="1"/>
  <c r="A286" i="1"/>
  <c r="B286" i="1"/>
  <c r="F286" i="1" s="1"/>
  <c r="E286" i="1" l="1"/>
  <c r="B287" i="1"/>
  <c r="A287" i="1"/>
  <c r="F287" i="1" l="1"/>
  <c r="E287" i="1"/>
  <c r="B288" i="1"/>
  <c r="A288" i="1"/>
  <c r="E288" i="1" s="1"/>
  <c r="F288" i="1" l="1"/>
  <c r="B289" i="1"/>
  <c r="A289" i="1"/>
  <c r="E289" i="1" s="1"/>
  <c r="F289" i="1" l="1"/>
  <c r="B290" i="1" s="1"/>
  <c r="A290" i="1"/>
  <c r="F290" i="1" l="1"/>
  <c r="E290" i="1"/>
  <c r="B291" i="1"/>
  <c r="A291" i="1"/>
  <c r="E291" i="1" s="1"/>
  <c r="F291" i="1" l="1"/>
  <c r="B292" i="1"/>
  <c r="A292" i="1"/>
  <c r="E292" i="1" s="1"/>
  <c r="F292" i="1" l="1"/>
  <c r="B293" i="1" s="1"/>
  <c r="A293" i="1"/>
  <c r="F293" i="1" l="1"/>
  <c r="B294" i="1" s="1"/>
  <c r="F294" i="1" s="1"/>
  <c r="E293" i="1"/>
  <c r="A294" i="1" s="1"/>
  <c r="E294" i="1" l="1"/>
  <c r="A295" i="1"/>
  <c r="B295" i="1"/>
  <c r="F295" i="1" s="1"/>
  <c r="E295" i="1" l="1"/>
  <c r="A296" i="1" s="1"/>
  <c r="B296" i="1"/>
  <c r="F296" i="1" l="1"/>
  <c r="B297" i="1" s="1"/>
  <c r="E296" i="1"/>
  <c r="A297" i="1" s="1"/>
  <c r="F297" i="1" l="1"/>
  <c r="E297" i="1"/>
  <c r="A298" i="1" s="1"/>
  <c r="B298" i="1"/>
  <c r="F298" i="1" l="1"/>
  <c r="B299" i="1" s="1"/>
  <c r="E298" i="1"/>
  <c r="A299" i="1"/>
  <c r="F299" i="1" l="1"/>
  <c r="B300" i="1" s="1"/>
  <c r="E299" i="1"/>
  <c r="A300" i="1"/>
  <c r="F300" i="1" l="1"/>
  <c r="B301" i="1" s="1"/>
  <c r="F301" i="1" s="1"/>
  <c r="E300" i="1"/>
  <c r="A301" i="1"/>
  <c r="E301" i="1" l="1"/>
  <c r="A302" i="1" s="1"/>
  <c r="B302" i="1"/>
  <c r="F302" i="1" s="1"/>
  <c r="E302" i="1" l="1"/>
</calcChain>
</file>

<file path=xl/sharedStrings.xml><?xml version="1.0" encoding="utf-8"?>
<sst xmlns="http://schemas.openxmlformats.org/spreadsheetml/2006/main" count="12" uniqueCount="12">
  <si>
    <t>Temps (jours apès le début de la simulation)</t>
  </si>
  <si>
    <t>Population proies (H)</t>
  </si>
  <si>
    <t>Population prédateurs (C)</t>
  </si>
  <si>
    <t>const α</t>
  </si>
  <si>
    <t>const δ</t>
  </si>
  <si>
    <t xml:space="preserve">const β </t>
  </si>
  <si>
    <t xml:space="preserve">const γ </t>
  </si>
  <si>
    <t>Variation pop. proies (dH / dt)</t>
  </si>
  <si>
    <t>Variation pop. prédateurs (dC / dt)</t>
  </si>
  <si>
    <t>Pop. équilibre proies</t>
  </si>
  <si>
    <t>Pop. équilibre prédateurs</t>
  </si>
  <si>
    <t>const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</si>
</sst>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 des populations en fonction du temps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21794233708338326"/>
          <c:y val="4.669584449151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Évolution de la population des proies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Feuil1!$A$3:$A$302</c:f>
              <c:numCache>
                <c:formatCode>General</c:formatCode>
                <c:ptCount val="300"/>
                <c:pt idx="0">
                  <c:v>50</c:v>
                </c:pt>
                <c:pt idx="1">
                  <c:v>45</c:v>
                </c:pt>
                <c:pt idx="2">
                  <c:v>40.5</c:v>
                </c:pt>
                <c:pt idx="3">
                  <c:v>36.530999999999999</c:v>
                </c:pt>
                <c:pt idx="4">
                  <c:v>33.088391621999996</c:v>
                </c:pt>
                <c:pt idx="5">
                  <c:v>30.143338918219825</c:v>
                </c:pt>
                <c:pt idx="6">
                  <c:v>27.653112118902584</c:v>
                </c:pt>
                <c:pt idx="7">
                  <c:v>25.569154887451731</c:v>
                </c:pt>
                <c:pt idx="8">
                  <c:v>23.842645119916547</c:v>
                </c:pt>
                <c:pt idx="9">
                  <c:v>22.427877837090911</c:v>
                </c:pt>
                <c:pt idx="10">
                  <c:v>21.284011728345519</c:v>
                </c:pt>
                <c:pt idx="11">
                  <c:v>20.375714675057296</c:v>
                </c:pt>
                <c:pt idx="12">
                  <c:v>19.673140170864009</c:v>
                </c:pt>
                <c:pt idx="13">
                  <c:v>19.151542875614222</c:v>
                </c:pt>
                <c:pt idx="14">
                  <c:v>18.790734032859579</c:v>
                </c:pt>
                <c:pt idx="15">
                  <c:v>18.574497148196365</c:v>
                </c:pt>
                <c:pt idx="16">
                  <c:v>18.490029790925011</c:v>
                </c:pt>
                <c:pt idx="17">
                  <c:v>18.527442961347912</c:v>
                </c:pt>
                <c:pt idx="18">
                  <c:v>18.679329123079984</c:v>
                </c:pt>
                <c:pt idx="19">
                  <c:v>18.94039881518361</c:v>
                </c:pt>
                <c:pt idx="20">
                  <c:v>19.307180197714985</c:v>
                </c:pt>
                <c:pt idx="21">
                  <c:v>19.777773592949785</c:v>
                </c:pt>
                <c:pt idx="22">
                  <c:v>20.351652579241726</c:v>
                </c:pt>
                <c:pt idx="23">
                  <c:v>21.029503579824787</c:v>
                </c:pt>
                <c:pt idx="24">
                  <c:v>21.813096646308406</c:v>
                </c:pt>
                <c:pt idx="25">
                  <c:v>22.705180978537815</c:v>
                </c:pt>
                <c:pt idx="26">
                  <c:v>23.709399497508862</c:v>
                </c:pt>
                <c:pt idx="27">
                  <c:v>24.830217421661036</c:v>
                </c:pt>
                <c:pt idx="28">
                  <c:v>26.072860255503855</c:v>
                </c:pt>
                <c:pt idx="29">
                  <c:v>27.443256868927012</c:v>
                </c:pt>
                <c:pt idx="30">
                  <c:v>28.94798341822564</c:v>
                </c:pt>
                <c:pt idx="31">
                  <c:v>30.594203727666191</c:v>
                </c:pt>
                <c:pt idx="32">
                  <c:v>32.389601399923627</c:v>
                </c:pt>
                <c:pt idx="33">
                  <c:v>34.342298333324045</c:v>
                </c:pt>
                <c:pt idx="34">
                  <c:v>36.460753461496282</c:v>
                </c:pt>
                <c:pt idx="35">
                  <c:v>38.753634352496434</c:v>
                </c:pt>
                <c:pt idx="36">
                  <c:v>41.229652751696264</c:v>
                </c:pt>
                <c:pt idx="37">
                  <c:v>43.897353153011039</c:v>
                </c:pt>
                <c:pt idx="38">
                  <c:v>46.764840949324743</c:v>
                </c:pt>
                <c:pt idx="39">
                  <c:v>49.839433546831714</c:v>
                </c:pt>
                <c:pt idx="40">
                  <c:v>53.127213927834092</c:v>
                </c:pt>
                <c:pt idx="41">
                  <c:v>56.632461425204369</c:v>
                </c:pt>
                <c:pt idx="42">
                  <c:v>60.356928891326582</c:v>
                </c:pt>
                <c:pt idx="43">
                  <c:v>64.298929080101985</c:v>
                </c:pt>
                <c:pt idx="44">
                  <c:v>68.452186214008933</c:v>
                </c:pt>
                <c:pt idx="45">
                  <c:v>72.804402100184291</c:v>
                </c:pt>
                <c:pt idx="46">
                  <c:v>77.335481250335164</c:v>
                </c:pt>
                <c:pt idx="47">
                  <c:v>82.015358960020748</c:v>
                </c:pt>
                <c:pt idx="48">
                  <c:v>86.801384958281773</c:v>
                </c:pt>
                <c:pt idx="49">
                  <c:v>91.635240955801649</c:v>
                </c:pt>
                <c:pt idx="50">
                  <c:v>96.439425742449643</c:v>
                </c:pt>
                <c:pt idx="51">
                  <c:v>101.11344517780243</c:v>
                </c:pt>
                <c:pt idx="52">
                  <c:v>105.53002234231757</c:v>
                </c:pt>
                <c:pt idx="53">
                  <c:v>109.5319263584302</c:v>
                </c:pt>
                <c:pt idx="54">
                  <c:v>112.93043441760557</c:v>
                </c:pt>
                <c:pt idx="55">
                  <c:v>115.50699105423</c:v>
                </c:pt>
                <c:pt idx="56">
                  <c:v>117.02023833813043</c:v>
                </c:pt>
                <c:pt idx="57">
                  <c:v>117.22103569987807</c:v>
                </c:pt>
                <c:pt idx="58">
                  <c:v>115.8779024216804</c:v>
                </c:pt>
                <c:pt idx="59">
                  <c:v>112.81376782437759</c:v>
                </c:pt>
                <c:pt idx="60">
                  <c:v>107.95122850140693</c:v>
                </c:pt>
                <c:pt idx="61">
                  <c:v>101.35757245925925</c:v>
                </c:pt>
                <c:pt idx="62">
                  <c:v>93.274355098192103</c:v>
                </c:pt>
                <c:pt idx="63">
                  <c:v>84.113646216260662</c:v>
                </c:pt>
                <c:pt idx="64">
                  <c:v>74.409660833823636</c:v>
                </c:pt>
                <c:pt idx="65">
                  <c:v>64.731829025579927</c:v>
                </c:pt>
                <c:pt idx="66">
                  <c:v>55.585678447034326</c:v>
                </c:pt>
                <c:pt idx="67">
                  <c:v>47.336635086675706</c:v>
                </c:pt>
                <c:pt idx="68">
                  <c:v>40.180410124974898</c:v>
                </c:pt>
                <c:pt idx="69">
                  <c:v>34.15980349950037</c:v>
                </c:pt>
                <c:pt idx="70">
                  <c:v>29.20893052725577</c:v>
                </c:pt>
                <c:pt idx="71">
                  <c:v>25.202249585902152</c:v>
                </c:pt>
                <c:pt idx="72">
                  <c:v>21.993726469792755</c:v>
                </c:pt>
                <c:pt idx="73">
                  <c:v>19.44163209634122</c:v>
                </c:pt>
                <c:pt idx="74">
                  <c:v>17.420935441533356</c:v>
                </c:pt>
                <c:pt idx="75">
                  <c:v>15.827396531844018</c:v>
                </c:pt>
                <c:pt idx="76">
                  <c:v>14.577085409468628</c:v>
                </c:pt>
                <c:pt idx="77">
                  <c:v>13.603874345359095</c:v>
                </c:pt>
                <c:pt idx="78">
                  <c:v>12.856360389409646</c:v>
                </c:pt>
                <c:pt idx="79">
                  <c:v>12.294928919137147</c:v>
                </c:pt>
                <c:pt idx="80">
                  <c:v>11.889236471209347</c:v>
                </c:pt>
                <c:pt idx="81">
                  <c:v>11.616171294118759</c:v>
                </c:pt>
                <c:pt idx="82">
                  <c:v>11.45825336665443</c:v>
                </c:pt>
                <c:pt idx="83">
                  <c:v>11.402402788411209</c:v>
                </c:pt>
                <c:pt idx="84">
                  <c:v>11.439002317802814</c:v>
                </c:pt>
                <c:pt idx="85">
                  <c:v>11.561188548983823</c:v>
                </c:pt>
                <c:pt idx="86">
                  <c:v>11.764318210209099</c:v>
                </c:pt>
                <c:pt idx="87">
                  <c:v>12.045567633829934</c:v>
                </c:pt>
                <c:pt idx="88">
                  <c:v>12.40363327533894</c:v>
                </c:pt>
                <c:pt idx="89">
                  <c:v>12.838509003760054</c:v>
                </c:pt>
                <c:pt idx="90">
                  <c:v>13.351321935652361</c:v>
                </c:pt>
                <c:pt idx="91">
                  <c:v>13.944213156653511</c:v>
                </c:pt>
                <c:pt idx="92">
                  <c:v>14.620253085600567</c:v>
                </c:pt>
                <c:pt idx="93">
                  <c:v>15.383383759253899</c:v>
                </c:pt>
                <c:pt idx="94">
                  <c:v>16.238382167236125</c:v>
                </c:pt>
                <c:pt idx="95">
                  <c:v>17.190840112074078</c:v>
                </c:pt>
                <c:pt idx="96">
                  <c:v>18.247157030187701</c:v>
                </c:pt>
                <c:pt idx="97">
                  <c:v>19.414542873958041</c:v>
                </c:pt>
                <c:pt idx="98">
                  <c:v>20.70102858336136</c:v>
                </c:pt>
                <c:pt idx="99">
                  <c:v>22.115481907557228</c:v>
                </c:pt>
                <c:pt idx="100">
                  <c:v>23.667626394438404</c:v>
                </c:pt>
                <c:pt idx="101">
                  <c:v>25.36806125675459</c:v>
                </c:pt>
                <c:pt idx="102">
                  <c:v>27.228279540366252</c:v>
                </c:pt>
                <c:pt idx="103">
                  <c:v>29.260681542580002</c:v>
                </c:pt>
                <c:pt idx="104">
                  <c:v>31.47857971952449</c:v>
                </c:pt>
                <c:pt idx="105">
                  <c:v>33.896190325108201</c:v>
                </c:pt>
                <c:pt idx="106">
                  <c:v>36.52860565991908</c:v>
                </c:pt>
                <c:pt idx="107">
                  <c:v>39.391738964389859</c:v>
                </c:pt>
                <c:pt idx="108">
                  <c:v>42.502231512340465</c:v>
                </c:pt>
                <c:pt idx="109">
                  <c:v>45.877308137659384</c:v>
                </c:pt>
                <c:pt idx="110">
                  <c:v>49.53456297139077</c:v>
                </c:pt>
                <c:pt idx="111">
                  <c:v>53.49165119025858</c:v>
                </c:pt>
                <c:pt idx="112">
                  <c:v>57.765854558067346</c:v>
                </c:pt>
                <c:pt idx="113">
                  <c:v>62.37347778299555</c:v>
                </c:pt>
                <c:pt idx="114">
                  <c:v>67.32901830678577</c:v>
                </c:pt>
                <c:pt idx="115">
                  <c:v>72.644032929608883</c:v>
                </c:pt>
                <c:pt idx="116">
                  <c:v>78.325599257358135</c:v>
                </c:pt>
                <c:pt idx="117">
                  <c:v>84.374236795194733</c:v>
                </c:pt>
                <c:pt idx="118">
                  <c:v>90.781110245501893</c:v>
                </c:pt>
                <c:pt idx="119">
                  <c:v>97.524285831007447</c:v>
                </c:pt>
                <c:pt idx="120">
                  <c:v>104.56375264093182</c:v>
                </c:pt>
                <c:pt idx="121">
                  <c:v>111.83486385646285</c:v>
                </c:pt>
                <c:pt idx="122">
                  <c:v>119.23981943302289</c:v>
                </c:pt>
                <c:pt idx="123">
                  <c:v>126.6368508850904</c:v>
                </c:pt>
                <c:pt idx="124">
                  <c:v>133.82697695368267</c:v>
                </c:pt>
                <c:pt idx="125">
                  <c:v>140.53875423176694</c:v>
                </c:pt>
                <c:pt idx="126">
                  <c:v>146.41264769771809</c:v>
                </c:pt>
                <c:pt idx="127">
                  <c:v>150.98892496833926</c:v>
                </c:pt>
                <c:pt idx="128">
                  <c:v>153.70679308706275</c:v>
                </c:pt>
                <c:pt idx="129">
                  <c:v>153.92787777675332</c:v>
                </c:pt>
                <c:pt idx="130">
                  <c:v>151.00252907560116</c:v>
                </c:pt>
                <c:pt idx="131">
                  <c:v>144.39760642392284</c:v>
                </c:pt>
                <c:pt idx="132">
                  <c:v>133.88881352678783</c:v>
                </c:pt>
                <c:pt idx="133">
                  <c:v>119.77744009132086</c:v>
                </c:pt>
                <c:pt idx="134">
                  <c:v>103.02571490294426</c:v>
                </c:pt>
                <c:pt idx="135">
                  <c:v>85.168234082356548</c:v>
                </c:pt>
                <c:pt idx="136">
                  <c:v>67.937218516567924</c:v>
                </c:pt>
                <c:pt idx="137">
                  <c:v>52.747724387690567</c:v>
                </c:pt>
                <c:pt idx="138">
                  <c:v>40.34200634145752</c:v>
                </c:pt>
                <c:pt idx="139">
                  <c:v>30.779673914103203</c:v>
                </c:pt>
                <c:pt idx="140">
                  <c:v>23.684295671746156</c:v>
                </c:pt>
                <c:pt idx="141">
                  <c:v>18.525475011065627</c:v>
                </c:pt>
                <c:pt idx="142">
                  <c:v>14.800206122034613</c:v>
                </c:pt>
                <c:pt idx="143">
                  <c:v>12.104559990288132</c:v>
                </c:pt>
                <c:pt idx="144">
                  <c:v>10.140310947688995</c:v>
                </c:pt>
                <c:pt idx="145">
                  <c:v>8.6963758966924587</c:v>
                </c:pt>
                <c:pt idx="146">
                  <c:v>7.6260962345752965</c:v>
                </c:pt>
                <c:pt idx="147">
                  <c:v>6.8280667435444746</c:v>
                </c:pt>
                <c:pt idx="148">
                  <c:v>6.2319670740093205</c:v>
                </c:pt>
                <c:pt idx="149">
                  <c:v>5.7886931306858411</c:v>
                </c:pt>
                <c:pt idx="150">
                  <c:v>5.4636632622989181</c:v>
                </c:pt>
                <c:pt idx="151">
                  <c:v>5.2323209309215288</c:v>
                </c:pt>
                <c:pt idx="152">
                  <c:v>5.077113542959383</c:v>
                </c:pt>
                <c:pt idx="153">
                  <c:v>4.9854525538327206</c:v>
                </c:pt>
                <c:pt idx="154">
                  <c:v>4.9483252473413772</c:v>
                </c:pt>
                <c:pt idx="155">
                  <c:v>4.9593414024928277</c:v>
                </c:pt>
                <c:pt idx="156">
                  <c:v>5.0140726071841204</c:v>
                </c:pt>
                <c:pt idx="157">
                  <c:v>5.1095905817244383</c:v>
                </c:pt>
                <c:pt idx="158">
                  <c:v>5.2441424622913058</c:v>
                </c:pt>
                <c:pt idx="159">
                  <c:v>5.4169215773549091</c:v>
                </c:pt>
                <c:pt idx="160">
                  <c:v>5.6279057454584818</c:v>
                </c:pt>
                <c:pt idx="161">
                  <c:v>5.8777440447056417</c:v>
                </c:pt>
                <c:pt idx="162">
                  <c:v>6.1676789594279251</c:v>
                </c:pt>
                <c:pt idx="163">
                  <c:v>6.499494825610503</c:v>
                </c:pt>
                <c:pt idx="164">
                  <c:v>6.8754862344115475</c:v>
                </c:pt>
                <c:pt idx="165">
                  <c:v>7.298441940087991</c:v>
                </c:pt>
                <c:pt idx="166">
                  <c:v>7.7716411337712454</c:v>
                </c:pt>
                <c:pt idx="167">
                  <c:v>8.2988598713588217</c:v>
                </c:pt>
                <c:pt idx="168">
                  <c:v>8.8843861041164551</c:v>
                </c:pt>
                <c:pt idx="169">
                  <c:v>9.5330422359268958</c:v>
                </c:pt>
                <c:pt idx="170">
                  <c:v>10.250214476382165</c:v>
                </c:pt>
                <c:pt idx="171">
                  <c:v>11.041888511232214</c:v>
                </c:pt>
                <c:pt idx="172">
                  <c:v>11.914691196159481</c:v>
                </c:pt>
                <c:pt idx="173">
                  <c:v>12.875938113188949</c:v>
                </c:pt>
                <c:pt idx="174">
                  <c:v>13.933686922060447</c:v>
                </c:pt>
                <c:pt idx="175">
                  <c:v>15.096796497936793</c:v>
                </c:pt>
                <c:pt idx="176">
                  <c:v>16.374991874700509</c:v>
                </c:pt>
                <c:pt idx="177">
                  <c:v>17.778935009487586</c:v>
                </c:pt>
                <c:pt idx="178">
                  <c:v>19.320301345639241</c:v>
                </c:pt>
                <c:pt idx="179">
                  <c:v>21.011862071175688</c:v>
                </c:pt>
                <c:pt idx="180">
                  <c:v>22.867571837411898</c:v>
                </c:pt>
                <c:pt idx="181">
                  <c:v>24.902661501437695</c:v>
                </c:pt>
                <c:pt idx="182">
                  <c:v>27.133735163879138</c:v>
                </c:pt>
                <c:pt idx="183">
                  <c:v>29.578870357010747</c:v>
                </c:pt>
                <c:pt idx="184">
                  <c:v>32.257719651719896</c:v>
                </c:pt>
                <c:pt idx="185">
                  <c:v>35.191611129564855</c:v>
                </c:pt>
                <c:pt idx="186">
                  <c:v>38.403644014973182</c:v>
                </c:pt>
                <c:pt idx="187">
                  <c:v>41.918774148892787</c:v>
                </c:pt>
                <c:pt idx="188">
                  <c:v>45.763881716167674</c:v>
                </c:pt>
                <c:pt idx="189">
                  <c:v>49.967810434365788</c:v>
                </c:pt>
                <c:pt idx="190">
                  <c:v>54.561362861323701</c:v>
                </c:pt>
                <c:pt idx="191">
                  <c:v>59.577229976516087</c:v>
                </c:pt>
                <c:pt idx="192">
                  <c:v>65.049823836674435</c:v>
                </c:pt>
                <c:pt idx="193">
                  <c:v>71.01496854983661</c:v>
                </c:pt>
                <c:pt idx="194">
                  <c:v>77.509385021383451</c:v>
                </c:pt>
                <c:pt idx="195">
                  <c:v>84.569875822219117</c:v>
                </c:pt>
                <c:pt idx="196">
                  <c:v>92.232073437435616</c:v>
                </c:pt>
                <c:pt idx="197">
                  <c:v>100.52855097236863</c:v>
                </c:pt>
                <c:pt idx="198">
                  <c:v>109.48599838888182</c:v>
                </c:pt>
                <c:pt idx="199">
                  <c:v>119.12102349910758</c:v>
                </c:pt>
                <c:pt idx="200">
                  <c:v>129.43392196469279</c:v>
                </c:pt>
                <c:pt idx="201">
                  <c:v>140.39944228514148</c:v>
                </c:pt>
                <c:pt idx="202">
                  <c:v>151.9531105054611</c:v>
                </c:pt>
                <c:pt idx="203">
                  <c:v>163.97103915765049</c:v>
                </c:pt>
                <c:pt idx="204">
                  <c:v>176.24033307762721</c:v>
                </c:pt>
                <c:pt idx="205">
                  <c:v>188.41638348167166</c:v>
                </c:pt>
                <c:pt idx="206">
                  <c:v>199.9631086868531</c:v>
                </c:pt>
                <c:pt idx="207">
                  <c:v>210.07422182302543</c:v>
                </c:pt>
                <c:pt idx="208">
                  <c:v>217.58185603715586</c:v>
                </c:pt>
                <c:pt idx="209">
                  <c:v>220.88140464805181</c:v>
                </c:pt>
                <c:pt idx="210">
                  <c:v>217.95050590475637</c:v>
                </c:pt>
                <c:pt idx="211">
                  <c:v>206.62137895467589</c:v>
                </c:pt>
                <c:pt idx="212">
                  <c:v>185.33305401649889</c:v>
                </c:pt>
                <c:pt idx="213">
                  <c:v>154.45129135285634</c:v>
                </c:pt>
                <c:pt idx="214">
                  <c:v>117.5689784112369</c:v>
                </c:pt>
                <c:pt idx="215">
                  <c:v>81.17302456634259</c:v>
                </c:pt>
                <c:pt idx="216">
                  <c:v>51.551391896437437</c:v>
                </c:pt>
                <c:pt idx="217">
                  <c:v>31.24501170114252</c:v>
                </c:pt>
                <c:pt idx="218">
                  <c:v>18.889545263230207</c:v>
                </c:pt>
                <c:pt idx="219">
                  <c:v>11.770941201817633</c:v>
                </c:pt>
                <c:pt idx="220">
                  <c:v>7.6842601902761496</c:v>
                </c:pt>
                <c:pt idx="221">
                  <c:v>5.2791402311461173</c:v>
                </c:pt>
                <c:pt idx="222">
                  <c:v>3.8113237091289829</c:v>
                </c:pt>
                <c:pt idx="223">
                  <c:v>2.8804909553933471</c:v>
                </c:pt>
                <c:pt idx="224">
                  <c:v>2.2685902318013413</c:v>
                </c:pt>
                <c:pt idx="225">
                  <c:v>1.853469335141279</c:v>
                </c:pt>
                <c:pt idx="226">
                  <c:v>1.5643807286066467</c:v>
                </c:pt>
                <c:pt idx="227">
                  <c:v>1.3589410496728036</c:v>
                </c:pt>
                <c:pt idx="228">
                  <c:v>1.2109323276277089</c:v>
                </c:pt>
                <c:pt idx="229">
                  <c:v>1.1036545262453097</c:v>
                </c:pt>
                <c:pt idx="230">
                  <c:v>1.0261904353626832</c:v>
                </c:pt>
                <c:pt idx="231">
                  <c:v>0.9712425545239971</c:v>
                </c:pt>
                <c:pt idx="232">
                  <c:v>0.93384380653074894</c:v>
                </c:pt>
                <c:pt idx="233">
                  <c:v>0.91056819587442128</c:v>
                </c:pt>
                <c:pt idx="234">
                  <c:v>0.89903549461321319</c:v>
                </c:pt>
                <c:pt idx="235">
                  <c:v>0.89759341472562859</c:v>
                </c:pt>
                <c:pt idx="236">
                  <c:v>0.90510957632876121</c:v>
                </c:pt>
                <c:pt idx="237">
                  <c:v>0.92083298350626985</c:v>
                </c:pt>
                <c:pt idx="238">
                  <c:v>0.94430047599621492</c:v>
                </c:pt>
                <c:pt idx="239">
                  <c:v>0.9752728997281207</c:v>
                </c:pt>
                <c:pt idx="240">
                  <c:v>1.0136913203782645</c:v>
                </c:pt>
                <c:pt idx="241">
                  <c:v>1.0596470331389491</c:v>
                </c:pt>
                <c:pt idx="242">
                  <c:v>1.1133612703219735</c:v>
                </c:pt>
                <c:pt idx="243">
                  <c:v>1.1751718796752497</c:v>
                </c:pt>
                <c:pt idx="244">
                  <c:v>1.2455251371189491</c:v>
                </c:pt>
                <c:pt idx="245">
                  <c:v>1.3249714462718074</c:v>
                </c:pt>
                <c:pt idx="246">
                  <c:v>1.4141640726830178</c:v>
                </c:pt>
                <c:pt idx="247">
                  <c:v>1.513860330956204</c:v>
                </c:pt>
                <c:pt idx="248">
                  <c:v>1.6249248308487354</c:v>
                </c:pt>
                <c:pt idx="249">
                  <c:v>1.7483345214975106</c:v>
                </c:pt>
                <c:pt idx="250">
                  <c:v>1.8851853691098472</c:v>
                </c:pt>
                <c:pt idx="251">
                  <c:v>2.0367005746278752</c:v>
                </c:pt>
                <c:pt idx="252">
                  <c:v>2.2042402919768973</c:v>
                </c:pt>
                <c:pt idx="253">
                  <c:v>2.3893128499450396</c:v>
                </c:pt>
                <c:pt idx="254">
                  <c:v>2.5935875152369179</c:v>
                </c:pt>
                <c:pt idx="255">
                  <c:v>2.8189088634033963</c:v>
                </c:pt>
                <c:pt idx="256">
                  <c:v>3.0673128500256022</c:v>
                </c:pt>
                <c:pt idx="257">
                  <c:v>3.3410446980661384</c:v>
                </c:pt>
                <c:pt idx="258">
                  <c:v>3.6425787396863241</c:v>
                </c:pt>
                <c:pt idx="259">
                  <c:v>3.9746403728172042</c:v>
                </c:pt>
                <c:pt idx="260">
                  <c:v>4.3402303149496086</c:v>
                </c:pt>
                <c:pt idx="261">
                  <c:v>4.742651359444932</c:v>
                </c:pt>
                <c:pt idx="262">
                  <c:v>5.1855378635535407</c:v>
                </c:pt>
                <c:pt idx="263">
                  <c:v>5.6728882225957173</c:v>
                </c:pt>
                <c:pt idx="264">
                  <c:v>6.2091006117049199</c:v>
                </c:pt>
                <c:pt idx="265">
                  <c:v>6.799012305419919</c:v>
                </c:pt>
                <c:pt idx="266">
                  <c:v>7.4479429164827948</c:v>
                </c:pt>
                <c:pt idx="267">
                  <c:v>8.1617419286745285</c:v>
                </c:pt>
                <c:pt idx="268">
                  <c:v>8.9468409345967963</c:v>
                </c:pt>
                <c:pt idx="269">
                  <c:v>9.8103110281566419</c:v>
                </c:pt>
                <c:pt idx="270">
                  <c:v>10.759925843259436</c:v>
                </c:pt>
                <c:pt idx="271">
                  <c:v>11.80423077493808</c:v>
                </c:pt>
                <c:pt idx="272">
                  <c:v>12.952618966833372</c:v>
                </c:pt>
                <c:pt idx="273">
                  <c:v>14.2154146994637</c:v>
                </c:pt>
                <c:pt idx="274">
                  <c:v>15.603964866780217</c:v>
                </c:pt>
                <c:pt idx="275">
                  <c:v>17.130739283545335</c:v>
                </c:pt>
                <c:pt idx="276">
                  <c:v>18.809440622186091</c:v>
                </c:pt>
                <c:pt idx="277">
                  <c:v>20.655124833527715</c:v>
                </c:pt>
                <c:pt idx="278">
                  <c:v>22.684332959023259</c:v>
                </c:pt>
                <c:pt idx="279">
                  <c:v>24.915235289489591</c:v>
                </c:pt>
                <c:pt idx="280">
                  <c:v>27.36778886207976</c:v>
                </c:pt>
                <c:pt idx="281">
                  <c:v>30.06390930608708</c:v>
                </c:pt>
                <c:pt idx="282">
                  <c:v>33.027658038586289</c:v>
                </c:pt>
                <c:pt idx="283">
                  <c:v>36.285445757191049</c:v>
                </c:pt>
                <c:pt idx="284">
                  <c:v>39.866253056055008</c:v>
                </c:pt>
                <c:pt idx="285">
                  <c:v>43.801868767871568</c:v>
                </c:pt>
                <c:pt idx="286">
                  <c:v>48.127146256671899</c:v>
                </c:pt>
                <c:pt idx="287">
                  <c:v>52.880277274190938</c:v>
                </c:pt>
                <c:pt idx="288">
                  <c:v>58.103082024612355</c:v>
                </c:pt>
                <c:pt idx="289">
                  <c:v>63.84131256979073</c:v>
                </c:pt>
                <c:pt idx="290">
                  <c:v>70.144964353539805</c:v>
                </c:pt>
                <c:pt idx="291">
                  <c:v>77.06858695928041</c:v>
                </c:pt>
                <c:pt idx="292">
                  <c:v>84.671579484152034</c:v>
                </c:pt>
                <c:pt idx="293">
                  <c:v>93.018446881114116</c:v>
                </c:pt>
                <c:pt idx="294">
                  <c:v>102.17897924683402</c:v>
                </c:pt>
                <c:pt idx="295">
                  <c:v>112.22829288636771</c:v>
                </c:pt>
                <c:pt idx="296">
                  <c:v>123.24663421093071</c:v>
                </c:pt>
                <c:pt idx="297">
                  <c:v>135.31878497347932</c:v>
                </c:pt>
                <c:pt idx="298">
                  <c:v>148.53280214885592</c:v>
                </c:pt>
                <c:pt idx="299">
                  <c:v>162.97764597462287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4-4CC8-A83F-07E7F1D91013}"/>
            </c:ext>
          </c:extLst>
        </c:ser>
        <c:ser>
          <c:idx val="1"/>
          <c:order val="1"/>
          <c:tx>
            <c:v>Évolution de la population des prédateurs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Feuil1!$B$3:$B$302</c:f>
              <c:numCache>
                <c:formatCode>General</c:formatCode>
                <c:ptCount val="300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97.119</c:v>
                </c:pt>
                <c:pt idx="4">
                  <c:v>94.502808377999997</c:v>
                </c:pt>
                <c:pt idx="5">
                  <c:v>91.306419406180169</c:v>
                </c:pt>
                <c:pt idx="6">
                  <c:v>87.680338156701382</c:v>
                </c:pt>
                <c:pt idx="7">
                  <c:v>83.761572784372362</c:v>
                </c:pt>
                <c:pt idx="8">
                  <c:v>79.668840762215481</c:v>
                </c:pt>
                <c:pt idx="9">
                  <c:v>75.50098848081123</c:v>
                </c:pt>
                <c:pt idx="10">
                  <c:v>71.337543525184586</c:v>
                </c:pt>
                <c:pt idx="11">
                  <c:v>67.2404873987889</c:v>
                </c:pt>
                <c:pt idx="12">
                  <c:v>63.256584630609026</c:v>
                </c:pt>
                <c:pt idx="13">
                  <c:v>59.419837479884308</c:v>
                </c:pt>
                <c:pt idx="14">
                  <c:v>55.753816862211941</c:v>
                </c:pt>
                <c:pt idx="15">
                  <c:v>52.273745463939917</c:v>
                </c:pt>
                <c:pt idx="16">
                  <c:v>48.988287989636916</c:v>
                </c:pt>
                <c:pt idx="17">
                  <c:v>45.901048999342827</c:v>
                </c:pt>
                <c:pt idx="18">
                  <c:v>43.011802233811267</c:v>
                </c:pt>
                <c:pt idx="19">
                  <c:v>40.317485230634517</c:v>
                </c:pt>
                <c:pt idx="20">
                  <c:v>37.81299520655805</c:v>
                </c:pt>
                <c:pt idx="21">
                  <c:v>35.491820310438939</c:v>
                </c:pt>
                <c:pt idx="22">
                  <c:v>33.346536652398079</c:v>
                </c:pt>
                <c:pt idx="23">
                  <c:v>31.369197244499382</c:v>
                </c:pt>
                <c:pt idx="24">
                  <c:v>29.551634811548304</c:v>
                </c:pt>
                <c:pt idx="25">
                  <c:v>27.885696662794903</c:v>
                </c:pt>
                <c:pt idx="26">
                  <c:v>26.363426575398144</c:v>
                </c:pt>
                <c:pt idx="27">
                  <c:v>24.977205943457044</c:v>
                </c:pt>
                <c:pt idx="28">
                  <c:v>23.719864257434626</c:v>
                </c:pt>
                <c:pt idx="29">
                  <c:v>22.584767243818391</c:v>
                </c:pt>
                <c:pt idx="30">
                  <c:v>21.565889657030624</c:v>
                </c:pt>
                <c:pt idx="31">
                  <c:v>20.657878723709572</c:v>
                </c:pt>
                <c:pt idx="32">
                  <c:v>19.856113551847798</c:v>
                </c:pt>
                <c:pt idx="33">
                  <c:v>19.156765403254962</c:v>
                </c:pt>
                <c:pt idx="34">
                  <c:v>18.556863568089632</c:v>
                </c:pt>
                <c:pt idx="35">
                  <c:v>18.054371666430146</c:v>
                </c:pt>
                <c:pt idx="36">
                  <c:v>17.648279535836942</c:v>
                </c:pt>
                <c:pt idx="37">
                  <c:v>17.338716456108095</c:v>
                </c:pt>
                <c:pt idx="38">
                  <c:v>17.12709232948469</c:v>
                </c:pt>
                <c:pt idx="39">
                  <c:v>17.016274593961722</c:v>
                </c:pt>
                <c:pt idx="40">
                  <c:v>17.010810108246343</c:v>
                </c:pt>
                <c:pt idx="41">
                  <c:v>17.117202992834841</c:v>
                </c:pt>
                <c:pt idx="42">
                  <c:v>17.344261369949582</c:v>
                </c:pt>
                <c:pt idx="43">
                  <c:v>17.703527933311882</c:v>
                </c:pt>
                <c:pt idx="44">
                  <c:v>18.209810914083945</c:v>
                </c:pt>
                <c:pt idx="45">
                  <c:v>18.881832557901085</c:v>
                </c:pt>
                <c:pt idx="46">
                  <c:v>19.743010361978541</c:v>
                </c:pt>
                <c:pt idx="47">
                  <c:v>20.822379741128614</c:v>
                </c:pt>
                <c:pt idx="48">
                  <c:v>22.155651664756807</c:v>
                </c:pt>
                <c:pt idx="49">
                  <c:v>23.786368996589431</c:v>
                </c:pt>
                <c:pt idx="50">
                  <c:v>25.767071405862652</c:v>
                </c:pt>
                <c:pt idx="51">
                  <c:v>28.160287404168564</c:v>
                </c:pt>
                <c:pt idx="52">
                  <c:v>31.039026017016823</c:v>
                </c:pt>
                <c:pt idx="53">
                  <c:v>34.486221633434262</c:v>
                </c:pt>
                <c:pt idx="54">
                  <c:v>38.592284046758486</c:v>
                </c:pt>
                <c:pt idx="55">
                  <c:v>43.449542447218768</c:v>
                </c:pt>
                <c:pt idx="56">
                  <c:v>49.142040024019458</c:v>
                </c:pt>
                <c:pt idx="57">
                  <c:v>55.729062493682918</c:v>
                </c:pt>
                <c:pt idx="58">
                  <c:v>63.221393092500108</c:v>
                </c:pt>
                <c:pt idx="59">
                  <c:v>71.551178622720954</c:v>
                </c:pt>
                <c:pt idx="60">
                  <c:v>80.539976865857284</c:v>
                </c:pt>
                <c:pt idx="61">
                  <c:v>89.874758071559924</c:v>
                </c:pt>
                <c:pt idx="62">
                  <c:v>99.106256871396994</c:v>
                </c:pt>
                <c:pt idx="63">
                  <c:v>107.68377557600795</c:v>
                </c:pt>
                <c:pt idx="64">
                  <c:v>115.03074802247023</c:v>
                </c:pt>
                <c:pt idx="65">
                  <c:v>120.64647111184928</c:v>
                </c:pt>
                <c:pt idx="66">
                  <c:v>124.20115748176795</c:v>
                </c:pt>
                <c:pt idx="67">
                  <c:v>125.58865293865321</c:v>
                </c:pt>
                <c:pt idx="68">
                  <c:v>124.91967611515626</c:v>
                </c:pt>
                <c:pt idx="69">
                  <c:v>122.46635614161266</c:v>
                </c:pt>
                <c:pt idx="70">
                  <c:v>118.58657384964603</c:v>
                </c:pt>
                <c:pt idx="71">
                  <c:v>113.65549045876062</c:v>
                </c:pt>
                <c:pt idx="72">
                  <c:v>108.01868948758417</c:v>
                </c:pt>
                <c:pt idx="73">
                  <c:v>101.96828755925657</c:v>
                </c:pt>
                <c:pt idx="74">
                  <c:v>95.736318667772892</c:v>
                </c:pt>
                <c:pt idx="75">
                  <c:v>89.498319254838279</c:v>
                </c:pt>
                <c:pt idx="76">
                  <c:v>83.381538104914242</c:v>
                </c:pt>
                <c:pt idx="77">
                  <c:v>77.47430389947921</c:v>
                </c:pt>
                <c:pt idx="78">
                  <c:v>71.83477490001664</c:v>
                </c:pt>
                <c:pt idx="79">
                  <c:v>66.498364919228436</c:v>
                </c:pt>
                <c:pt idx="80">
                  <c:v>61.483713767147108</c:v>
                </c:pt>
                <c:pt idx="81">
                  <c:v>56.797331214643918</c:v>
                </c:pt>
                <c:pt idx="82">
                  <c:v>52.437133150055729</c:v>
                </c:pt>
                <c:pt idx="83">
                  <c:v>48.39509574995882</c:v>
                </c:pt>
                <c:pt idx="84">
                  <c:v>44.659226924412451</c:v>
                </c:pt>
                <c:pt idx="85">
                  <c:v>41.215018232570479</c:v>
                </c:pt>
                <c:pt idx="86">
                  <c:v>38.046505602986535</c:v>
                </c:pt>
                <c:pt idx="87">
                  <c:v>35.137037440087958</c:v>
                </c:pt>
                <c:pt idx="88">
                  <c:v>32.469824817953153</c:v>
                </c:pt>
                <c:pt idx="89">
                  <c:v>30.028329935270616</c:v>
                </c:pt>
                <c:pt idx="90">
                  <c:v>27.796534910227251</c:v>
                </c:pt>
                <c:pt idx="91">
                  <c:v>25.759122391768614</c:v>
                </c:pt>
                <c:pt idx="92">
                  <c:v>23.901591539310047</c:v>
                </c:pt>
                <c:pt idx="93">
                  <c:v>22.210327020285767</c:v>
                </c:pt>
                <c:pt idx="94">
                  <c:v>20.672634286200356</c:v>
                </c:pt>
                <c:pt idx="95">
                  <c:v>19.276751129465982</c:v>
                </c:pt>
                <c:pt idx="96">
                  <c:v>18.011843109613171</c:v>
                </c:pt>
                <c:pt idx="97">
                  <c:v>16.867988657900284</c:v>
                </c:pt>
                <c:pt idx="98">
                  <c:v>15.836158370102741</c:v>
                </c:pt>
                <c:pt idx="99">
                  <c:v>14.908192067232735</c:v>
                </c:pt>
                <c:pt idx="100">
                  <c:v>14.076776564384009</c:v>
                </c:pt>
                <c:pt idx="101">
                  <c:v>13.335426685073262</c:v>
                </c:pt>
                <c:pt idx="102">
                  <c:v>12.678471858629733</c:v>
                </c:pt>
                <c:pt idx="103">
                  <c:v>12.101050624589634</c:v>
                </c:pt>
                <c:pt idx="104">
                  <c:v>11.599115539444183</c:v>
                </c:pt>
                <c:pt idx="105">
                  <c:v>11.169451351868503</c:v>
                </c:pt>
                <c:pt idx="106">
                  <c:v>10.809709914381596</c:v>
                </c:pt>
                <c:pt idx="107">
                  <c:v>10.518466184464563</c:v>
                </c:pt>
                <c:pt idx="108">
                  <c:v>10.295300914506486</c:v>
                </c:pt>
                <c:pt idx="109">
                  <c:v>10.140917348970968</c:v>
                </c:pt>
                <c:pt idx="110">
                  <c:v>10.057301594108425</c:v>
                </c:pt>
                <c:pt idx="111">
                  <c:v>10.047939512968847</c:v>
                </c:pt>
                <c:pt idx="112">
                  <c:v>10.118107312889055</c:v>
                </c:pt>
                <c:pt idx="113">
                  <c:v>10.275258812478683</c:v>
                </c:pt>
                <c:pt idx="114">
                  <c:v>10.529540185740151</c:v>
                </c:pt>
                <c:pt idx="115">
                  <c:v>10.894473375021606</c:v>
                </c:pt>
                <c:pt idx="116">
                  <c:v>11.387863002731079</c:v>
                </c:pt>
                <c:pt idx="117">
                  <c:v>12.03299909035719</c:v>
                </c:pt>
                <c:pt idx="118">
                  <c:v>12.860249410533793</c:v>
                </c:pt>
                <c:pt idx="119">
                  <c:v>13.909159908525051</c:v>
                </c:pt>
                <c:pt idx="120">
                  <c:v>15.231205690848919</c:v>
                </c:pt>
                <c:pt idx="121">
                  <c:v>16.893349170326186</c:v>
                </c:pt>
                <c:pt idx="122">
                  <c:v>18.982545062379806</c:v>
                </c:pt>
                <c:pt idx="123">
                  <c:v>21.611241047376602</c:v>
                </c:pt>
                <c:pt idx="124">
                  <c:v>24.923675962555691</c:v>
                </c:pt>
                <c:pt idx="125">
                  <c:v>29.102228783584113</c:v>
                </c:pt>
                <c:pt idx="126">
                  <c:v>34.371987862451263</c:v>
                </c:pt>
                <c:pt idx="127">
                  <c:v>40.999776575356776</c:v>
                </c:pt>
                <c:pt idx="128">
                  <c:v>49.28082329593154</c:v>
                </c:pt>
                <c:pt idx="129">
                  <c:v>59.502335585354089</c:v>
                </c:pt>
                <c:pt idx="130">
                  <c:v>71.870238505646171</c:v>
                </c:pt>
                <c:pt idx="131">
                  <c:v>86.388390214319998</c:v>
                </c:pt>
                <c:pt idx="132">
                  <c:v>102.69810473241529</c:v>
                </c:pt>
                <c:pt idx="133">
                  <c:v>119.92854904731951</c:v>
                </c:pt>
                <c:pt idx="134">
                  <c:v>136.66516334009626</c:v>
                </c:pt>
                <c:pt idx="135">
                  <c:v>151.15869931696875</c:v>
                </c:pt>
                <c:pt idx="136">
                  <c:v>161.79066835929618</c:v>
                </c:pt>
                <c:pt idx="137">
                  <c:v>167.59481750390071</c:v>
                </c:pt>
                <c:pt idx="138">
                  <c:v>168.51582623851274</c:v>
                </c:pt>
                <c:pt idx="139">
                  <c:v>165.26077667616153</c:v>
                </c:pt>
                <c:pt idx="140">
                  <c:v>158.90804464231275</c:v>
                </c:pt>
                <c:pt idx="141">
                  <c:v>150.54449040593661</c:v>
                </c:pt>
                <c:pt idx="142">
                  <c:v>141.06785775548053</c:v>
                </c:pt>
                <c:pt idx="143">
                  <c:v>131.13673872388242</c:v>
                </c:pt>
                <c:pt idx="144">
                  <c:v>121.19776989312213</c:v>
                </c:pt>
                <c:pt idx="145">
                  <c:v>111.53595904957535</c:v>
                </c:pt>
                <c:pt idx="146">
                  <c:v>102.32228039640422</c:v>
                </c:pt>
                <c:pt idx="147">
                  <c:v>93.650691471252145</c:v>
                </c:pt>
                <c:pt idx="148">
                  <c:v>85.564528668016536</c:v>
                </c:pt>
                <c:pt idx="149">
                  <c:v>78.074546451939298</c:v>
                </c:pt>
                <c:pt idx="150">
                  <c:v>71.17099098820087</c:v>
                </c:pt>
                <c:pt idx="151">
                  <c:v>64.831600546988057</c:v>
                </c:pt>
                <c:pt idx="152">
                  <c:v>59.026879973343547</c:v>
                </c:pt>
                <c:pt idx="153">
                  <c:v>53.723564319431794</c:v>
                </c:pt>
                <c:pt idx="154">
                  <c:v>48.886880449363233</c:v>
                </c:pt>
                <c:pt idx="155">
                  <c:v>44.4820087740096</c:v>
                </c:pt>
                <c:pt idx="156">
                  <c:v>40.475010832166632</c:v>
                </c:pt>
                <c:pt idx="157">
                  <c:v>36.83339903512806</c:v>
                </c:pt>
                <c:pt idx="158">
                  <c:v>33.526466309220829</c:v>
                </c:pt>
                <c:pt idx="159">
                  <c:v>30.525454809464275</c:v>
                </c:pt>
                <c:pt idx="160">
                  <c:v>27.803617318149765</c:v>
                </c:pt>
                <c:pt idx="161">
                  <c:v>25.336207861633476</c:v>
                </c:pt>
                <c:pt idx="162">
                  <c:v>23.10042656521841</c:v>
                </c:pt>
                <c:pt idx="163">
                  <c:v>21.075335938456782</c:v>
                </c:pt>
                <c:pt idx="164">
                  <c:v>19.241760418371108</c:v>
                </c:pt>
                <c:pt idx="165">
                  <c:v>17.58217729429871</c:v>
                </c:pt>
                <c:pt idx="166">
                  <c:v>16.080604565194385</c:v>
                </c:pt>
                <c:pt idx="167">
                  <c:v>14.722489484464495</c:v>
                </c:pt>
                <c:pt idx="168">
                  <c:v>13.494600290396294</c:v>
                </c:pt>
                <c:pt idx="169">
                  <c:v>12.384922739957871</c:v>
                </c:pt>
                <c:pt idx="170">
                  <c:v>11.382562449099503</c:v>
                </c:pt>
                <c:pt idx="171">
                  <c:v>10.477653616977721</c:v>
                </c:pt>
                <c:pt idx="172">
                  <c:v>9.6612744214759019</c:v>
                </c:pt>
                <c:pt idx="173">
                  <c:v>8.9253691819147907</c:v>
                </c:pt>
                <c:pt idx="174">
                  <c:v>8.2626772661707086</c:v>
                </c:pt>
                <c:pt idx="175">
                  <c:v>7.6666686558833357</c:v>
                </c:pt>
                <c:pt idx="176">
                  <c:v>7.1314860633249646</c:v>
                </c:pt>
                <c:pt idx="177">
                  <c:v>6.6518935096754408</c:v>
                </c:pt>
                <c:pt idx="178">
                  <c:v>6.2232313235050007</c:v>
                </c:pt>
                <c:pt idx="179">
                  <c:v>5.8413776001819766</c:v>
                </c:pt>
                <c:pt idx="180">
                  <c:v>5.5027162810451369</c:v>
                </c:pt>
                <c:pt idx="181">
                  <c:v>5.2041121726560142</c:v>
                </c:pt>
                <c:pt idx="182">
                  <c:v>4.9428934430927409</c:v>
                </c:pt>
                <c:pt idx="183">
                  <c:v>4.7168424220397727</c:v>
                </c:pt>
                <c:pt idx="184">
                  <c:v>4.5241959208277214</c:v>
                </c:pt>
                <c:pt idx="185">
                  <c:v>4.3636568160719804</c:v>
                </c:pt>
                <c:pt idx="186">
                  <c:v>4.2344193620129431</c:v>
                </c:pt>
                <c:pt idx="187">
                  <c:v>4.1362116933893587</c:v>
                </c:pt>
                <c:pt idx="188">
                  <c:v>4.0693603716648186</c:v>
                </c:pt>
                <c:pt idx="189">
                  <c:v>4.0348837879169945</c:v>
                </c:pt>
                <c:pt idx="190">
                  <c:v>4.0346240256039589</c:v>
                </c:pt>
                <c:pt idx="191">
                  <c:v>4.0714307939835477</c:v>
                </c:pt>
                <c:pt idx="192">
                  <c:v>4.1494168520784473</c:v>
                </c:pt>
                <c:pt idx="193">
                  <c:v>4.2743128373758648</c:v>
                </c:pt>
                <c:pt idx="194">
                  <c:v>4.453961937075098</c:v>
                </c:pt>
                <c:pt idx="195">
                  <c:v>4.6990134446702694</c:v>
                </c:pt>
                <c:pt idx="196">
                  <c:v>5.0239020672086481</c:v>
                </c:pt>
                <c:pt idx="197">
                  <c:v>5.4482416692983282</c:v>
                </c:pt>
                <c:pt idx="198">
                  <c:v>5.9988251830921744</c:v>
                </c:pt>
                <c:pt idx="199">
                  <c:v>6.7125173934453839</c:v>
                </c:pt>
                <c:pt idx="200">
                  <c:v>7.6404695384263972</c:v>
                </c:pt>
                <c:pt idx="201">
                  <c:v>8.854294460604347</c:v>
                </c:pt>
                <c:pt idx="202">
                  <c:v>10.455141022738449</c:v>
                </c:pt>
                <c:pt idx="203">
                  <c:v>12.587009318821314</c:v>
                </c:pt>
                <c:pt idx="204">
                  <c:v>15.456118382727507</c:v>
                </c:pt>
                <c:pt idx="205">
                  <c:v>19.358489448173021</c:v>
                </c:pt>
                <c:pt idx="206">
                  <c:v>24.717553646341443</c:v>
                </c:pt>
                <c:pt idx="207">
                  <c:v>32.130996014220294</c:v>
                </c:pt>
                <c:pt idx="208">
                  <c:v>42.417684380970385</c:v>
                </c:pt>
                <c:pt idx="209">
                  <c:v>56.634552935692966</c:v>
                </c:pt>
                <c:pt idx="210">
                  <c:v>75.990136850224289</c:v>
                </c:pt>
                <c:pt idx="211">
                  <c:v>101.51530070575797</c:v>
                </c:pt>
                <c:pt idx="212">
                  <c:v>133.31423346882676</c:v>
                </c:pt>
                <c:pt idx="213">
                  <c:v>169.39787818723653</c:v>
                </c:pt>
                <c:pt idx="214">
                  <c:v>204.78553244541797</c:v>
                </c:pt>
                <c:pt idx="215">
                  <c:v>232.45983088689417</c:v>
                </c:pt>
                <c:pt idx="216">
                  <c:v>246.95278292474416</c:v>
                </c:pt>
                <c:pt idx="217">
                  <c:v>247.7190240172084</c:v>
                </c:pt>
                <c:pt idx="218">
                  <c:v>238.42708922351412</c:v>
                </c:pt>
                <c:pt idx="219">
                  <c:v>223.59193888889831</c:v>
                </c:pt>
                <c:pt idx="220">
                  <c:v>206.49652013173173</c:v>
                </c:pt>
                <c:pt idx="221">
                  <c:v>189.02041409671619</c:v>
                </c:pt>
                <c:pt idx="222">
                  <c:v>172.11410323217632</c:v>
                </c:pt>
                <c:pt idx="223">
                  <c:v>156.21465803360724</c:v>
                </c:pt>
                <c:pt idx="224">
                  <c:v>141.49314204937787</c:v>
                </c:pt>
                <c:pt idx="225">
                  <c:v>127.98580776428028</c:v>
                </c:pt>
                <c:pt idx="226">
                  <c:v>115.66166252790102</c:v>
                </c:pt>
                <c:pt idx="227">
                  <c:v>104.45737402690543</c:v>
                </c:pt>
                <c:pt idx="228">
                  <c:v>94.295539451227256</c:v>
                </c:pt>
                <c:pt idx="229">
                  <c:v>85.094356540249706</c:v>
                </c:pt>
                <c:pt idx="230">
                  <c:v>76.7727504297319</c:v>
                </c:pt>
                <c:pt idx="231">
                  <c:v>69.253042311133669</c:v>
                </c:pt>
                <c:pt idx="232">
                  <c:v>62.462261083465947</c:v>
                </c:pt>
                <c:pt idx="233">
                  <c:v>56.332694966428754</c:v>
                </c:pt>
                <c:pt idx="234">
                  <c:v>50.802014990634532</c:v>
                </c:pt>
                <c:pt idx="235">
                  <c:v>45.813159120919984</c:v>
                </c:pt>
                <c:pt idx="236">
                  <c:v>41.314086388697419</c:v>
                </c:pt>
                <c:pt idx="237">
                  <c:v>37.257465300283044</c:v>
                </c:pt>
                <c:pt idx="238">
                  <c:v>33.600334576115422</c:v>
                </c:pt>
                <c:pt idx="239">
                  <c:v>30.303758742371596</c:v>
                </c:pt>
                <c:pt idx="240">
                  <c:v>27.332491737457104</c:v>
                </c:pt>
                <c:pt idx="241">
                  <c:v>24.654655982988537</c:v>
                </c:pt>
                <c:pt idx="242">
                  <c:v>22.241440850820553</c:v>
                </c:pt>
                <c:pt idx="243">
                  <c:v>20.066822283417419</c:v>
                </c:pt>
                <c:pt idx="244">
                  <c:v>18.107303985599504</c:v>
                </c:pt>
                <c:pt idx="245">
                  <c:v>16.34167979159859</c:v>
                </c:pt>
                <c:pt idx="246">
                  <c:v>14.750816330654702</c:v>
                </c:pt>
                <c:pt idx="247">
                  <c:v>13.317454846584347</c:v>
                </c:pt>
                <c:pt idx="248">
                  <c:v>12.026030895129001</c:v>
                </c:pt>
                <c:pt idx="249">
                  <c:v>10.862510598052198</c:v>
                </c:pt>
                <c:pt idx="250">
                  <c:v>9.8142421427843924</c:v>
                </c:pt>
                <c:pt idx="251">
                  <c:v>8.8698212598989095</c:v>
                </c:pt>
                <c:pt idx="252">
                  <c:v>8.0189694740227839</c:v>
                </c:pt>
                <c:pt idx="253">
                  <c:v>7.2524239978500535</c:v>
                </c:pt>
                <c:pt idx="254">
                  <c:v>6.561838217767674</c:v>
                </c:pt>
                <c:pt idx="255">
                  <c:v>5.93969179934812</c:v>
                </c:pt>
                <c:pt idx="256">
                  <c:v>5.3792095191314413</c:v>
                </c:pt>
                <c:pt idx="257">
                  <c:v>4.8742880041803209</c:v>
                </c:pt>
                <c:pt idx="258">
                  <c:v>4.4194296319487165</c:v>
                </c:pt>
                <c:pt idx="259">
                  <c:v>4.0096829095915973</c:v>
                </c:pt>
                <c:pt idx="260">
                  <c:v>3.6405887137817534</c:v>
                </c:pt>
                <c:pt idx="261">
                  <c:v>3.3081318294032158</c:v>
                </c:pt>
                <c:pt idx="262">
                  <c:v>3.0086972782987784</c:v>
                </c:pt>
                <c:pt idx="263">
                  <c:v>2.739030977782078</c:v>
                </c:pt>
                <c:pt idx="264">
                  <c:v>2.49620431315424</c:v>
                </c:pt>
                <c:pt idx="265">
                  <c:v>2.277582249294309</c:v>
                </c:pt>
                <c:pt idx="266">
                  <c:v>2.0807946438439942</c:v>
                </c:pt>
                <c:pt idx="267">
                  <c:v>1.9037104589161411</c:v>
                </c:pt>
                <c:pt idx="268">
                  <c:v>1.7444145999697112</c:v>
                </c:pt>
                <c:pt idx="269">
                  <c:v>1.6011871398725745</c:v>
                </c:pt>
                <c:pt idx="270">
                  <c:v>1.472484713598186</c:v>
                </c:pt>
                <c:pt idx="271">
                  <c:v>1.3569238948856666</c:v>
                </c:pt>
                <c:pt idx="272">
                  <c:v>1.2532663909956163</c:v>
                </c:pt>
                <c:pt idx="273">
                  <c:v>1.1604059159490641</c:v>
                </c:pt>
                <c:pt idx="274">
                  <c:v>1.0773566269840116</c:v>
                </c:pt>
                <c:pt idx="275">
                  <c:v>1.0032430341985132</c:v>
                </c:pt>
                <c:pt idx="276">
                  <c:v>0.93729132049243735</c:v>
                </c:pt>
                <c:pt idx="277">
                  <c:v>0.87882203932017944</c:v>
                </c:pt>
                <c:pt idx="278">
                  <c:v>0.82724419324538889</c:v>
                </c:pt>
                <c:pt idx="279">
                  <c:v>0.78205073935684399</c:v>
                </c:pt>
                <c:pt idx="280">
                  <c:v>0.74281562177994975</c:v>
                </c:pt>
                <c:pt idx="281">
                  <c:v>0.70919250180261106</c:v>
                </c:pt>
                <c:pt idx="282">
                  <c:v>0.68091544973185136</c:v>
                </c:pt>
                <c:pt idx="283">
                  <c:v>0.65780199001253381</c:v>
                </c:pt>
                <c:pt idx="284">
                  <c:v>0.63975906786642467</c:v>
                </c:pt>
                <c:pt idx="285">
                  <c:v>0.62679275486871966</c:v>
                </c:pt>
                <c:pt idx="286">
                  <c:v>0.6190228673686724</c:v>
                </c:pt>
                <c:pt idx="287">
                  <c:v>0.61670418877995814</c:v>
                </c:pt>
                <c:pt idx="288">
                  <c:v>0.62025674689964072</c:v>
                </c:pt>
                <c:pt idx="289">
                  <c:v>0.63030872949253469</c:v>
                </c:pt>
                <c:pt idx="290">
                  <c:v>0.64775732977328238</c:v>
                </c:pt>
                <c:pt idx="291">
                  <c:v>0.67385542640933616</c:v>
                </c:pt>
                <c:pt idx="292">
                  <c:v>0.71033605482482431</c:v>
                </c:pt>
                <c:pt idx="293">
                  <c:v>0.7595930007954601</c:v>
                </c:pt>
                <c:pt idx="294">
                  <c:v>0.82494602310743126</c:v>
                </c:pt>
                <c:pt idx="295">
                  <c:v>0.91103570594639305</c:v>
                </c:pt>
                <c:pt idx="296">
                  <c:v>1.0244200994255348</c:v>
                </c:pt>
                <c:pt idx="297">
                  <c:v>1.1744907480274296</c:v>
                </c:pt>
                <c:pt idx="298">
                  <c:v>1.3749029951960159</c:v>
                </c:pt>
                <c:pt idx="299">
                  <c:v>1.6458490847950529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4-4CC8-A83F-07E7F1D91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741024"/>
        <c:axId val="34898734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Population à l'équilibre des proies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Feuil1!$H$2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3A4-4CC8-A83F-07E7F1D9101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Population à l'équilibre des prédateurs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Feuil1!$I$2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3A4-4CC8-A83F-07E7F1D91013}"/>
                  </c:ext>
                </c:extLst>
              </c15:ser>
            </c15:filteredLineSeries>
          </c:ext>
        </c:extLst>
      </c:lineChart>
      <c:catAx>
        <c:axId val="76574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écoulé en jours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38874767210115335"/>
              <c:y val="0.80404226121481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8987344"/>
        <c:crosses val="autoZero"/>
        <c:auto val="1"/>
        <c:lblAlgn val="ctr"/>
        <c:lblOffset val="100"/>
        <c:noMultiLvlLbl val="0"/>
      </c:catAx>
      <c:valAx>
        <c:axId val="3489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Populations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574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09501820571185E-2"/>
          <c:y val="0.89118503270847504"/>
          <c:w val="0.9"/>
          <c:h val="7.1383748351253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15</xdr:col>
      <xdr:colOff>603250</xdr:colOff>
      <xdr:row>24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A87B11F-22FB-448B-873C-913711C77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B0DB-08ED-4C05-AC20-6C4839AB2C6E}">
  <dimension ref="A1:O302"/>
  <sheetViews>
    <sheetView tabSelected="1" topLeftCell="C1" workbookViewId="0">
      <selection activeCell="N2" sqref="N2"/>
    </sheetView>
  </sheetViews>
  <sheetFormatPr baseColWidth="10" defaultRowHeight="14.5" x14ac:dyDescent="0.35"/>
  <cols>
    <col min="1" max="1" width="31.1796875" customWidth="1"/>
    <col min="2" max="2" width="36.36328125" customWidth="1"/>
    <col min="3" max="3" width="36.453125" customWidth="1"/>
    <col min="4" max="4" width="5.81640625" customWidth="1"/>
    <col min="5" max="5" width="25" customWidth="1"/>
    <col min="6" max="6" width="28.90625" customWidth="1"/>
    <col min="7" max="7" width="5.36328125" customWidth="1"/>
    <col min="8" max="8" width="17.81640625" customWidth="1"/>
    <col min="9" max="9" width="25.6328125" customWidth="1"/>
    <col min="10" max="10" width="5.36328125" customWidth="1"/>
  </cols>
  <sheetData>
    <row r="1" spans="1:15" x14ac:dyDescent="0.35">
      <c r="A1" t="s">
        <v>1</v>
      </c>
      <c r="B1" t="s">
        <v>2</v>
      </c>
      <c r="C1" t="s">
        <v>0</v>
      </c>
      <c r="D1" s="1"/>
      <c r="E1" t="s">
        <v>7</v>
      </c>
      <c r="F1" t="s">
        <v>8</v>
      </c>
      <c r="G1" s="1"/>
      <c r="H1" t="s">
        <v>9</v>
      </c>
      <c r="I1" t="s">
        <v>10</v>
      </c>
      <c r="J1" s="1"/>
      <c r="K1" t="s">
        <v>3</v>
      </c>
      <c r="L1" t="s">
        <v>4</v>
      </c>
      <c r="M1" t="s">
        <v>5</v>
      </c>
      <c r="N1" t="s">
        <v>6</v>
      </c>
      <c r="O1" t="s">
        <v>11</v>
      </c>
    </row>
    <row r="2" spans="1:15" x14ac:dyDescent="0.35">
      <c r="A2" s="1">
        <v>50</v>
      </c>
      <c r="B2" s="1">
        <v>100</v>
      </c>
      <c r="C2" s="1">
        <v>0</v>
      </c>
      <c r="D2" s="1"/>
      <c r="E2" s="3">
        <v>0</v>
      </c>
      <c r="F2" s="1">
        <v>0</v>
      </c>
      <c r="G2" s="1"/>
      <c r="H2" s="2">
        <f xml:space="preserve"> $N$2 / $L$2</f>
        <v>50</v>
      </c>
      <c r="I2" s="2">
        <f xml:space="preserve"> $K$2 / $M$2</f>
        <v>50</v>
      </c>
      <c r="J2" s="1"/>
      <c r="K2">
        <v>0.05</v>
      </c>
      <c r="L2">
        <v>1E-3</v>
      </c>
      <c r="M2">
        <v>1E-3</v>
      </c>
      <c r="N2">
        <v>0.05</v>
      </c>
      <c r="O2">
        <v>2</v>
      </c>
    </row>
    <row r="3" spans="1:15" x14ac:dyDescent="0.35">
      <c r="A3">
        <f>A2 +E2</f>
        <v>50</v>
      </c>
      <c r="B3">
        <f>B2 + F2</f>
        <v>100</v>
      </c>
      <c r="C3">
        <f>C2 +$O$2</f>
        <v>2</v>
      </c>
      <c r="D3" s="1"/>
      <c r="E3">
        <f>(($K$2 * A3)*$O$2)-((($M$2 * A3) * B3)*$O$2)</f>
        <v>-5</v>
      </c>
      <c r="F3">
        <f>-(($N$2 * B3)*$O$2) + ((($L$2 *B3) * A3)*$O$2)</f>
        <v>0</v>
      </c>
      <c r="G3" s="1"/>
    </row>
    <row r="4" spans="1:15" x14ac:dyDescent="0.35">
      <c r="A4">
        <f>A3 +E3</f>
        <v>45</v>
      </c>
      <c r="B4">
        <f>B3 + F3</f>
        <v>100</v>
      </c>
      <c r="C4">
        <f t="shared" ref="C4:C67" si="0">C3 +$O$2</f>
        <v>4</v>
      </c>
      <c r="D4" s="1"/>
      <c r="E4">
        <f>(($K$2 * A4)*$O$2)-((($M$2 * A4) * B4)*$O$2)</f>
        <v>-4.5</v>
      </c>
      <c r="F4">
        <f t="shared" ref="F4:F67" si="1">-(($N$2 * B4)*$O$2) + ((($L$2 *B4) * A4)*$O$2)</f>
        <v>-1</v>
      </c>
      <c r="G4" s="1"/>
    </row>
    <row r="5" spans="1:15" x14ac:dyDescent="0.35">
      <c r="A5">
        <f t="shared" ref="A5:A67" si="2">A4 +E4</f>
        <v>40.5</v>
      </c>
      <c r="B5">
        <f t="shared" ref="B5:B67" si="3">B4 + F4</f>
        <v>99</v>
      </c>
      <c r="C5">
        <f t="shared" si="0"/>
        <v>6</v>
      </c>
      <c r="D5" s="1"/>
      <c r="E5">
        <f t="shared" ref="E5:E67" si="4">(($K$2 * A5)*$O$2)-((($M$2 * A5) * B5)*$O$2)</f>
        <v>-3.9690000000000003</v>
      </c>
      <c r="F5">
        <f t="shared" si="1"/>
        <v>-1.8810000000000002</v>
      </c>
      <c r="G5" s="1"/>
    </row>
    <row r="6" spans="1:15" x14ac:dyDescent="0.35">
      <c r="A6">
        <f t="shared" si="2"/>
        <v>36.530999999999999</v>
      </c>
      <c r="B6">
        <f t="shared" si="3"/>
        <v>97.119</v>
      </c>
      <c r="C6">
        <f t="shared" si="0"/>
        <v>8</v>
      </c>
      <c r="D6" s="1"/>
      <c r="E6">
        <f t="shared" si="4"/>
        <v>-3.4426083780000001</v>
      </c>
      <c r="F6">
        <f t="shared" si="1"/>
        <v>-2.6161916220000005</v>
      </c>
      <c r="G6" s="1"/>
    </row>
    <row r="7" spans="1:15" x14ac:dyDescent="0.35">
      <c r="A7">
        <f t="shared" si="2"/>
        <v>33.088391621999996</v>
      </c>
      <c r="B7">
        <f t="shared" si="3"/>
        <v>94.502808377999997</v>
      </c>
      <c r="C7">
        <f t="shared" si="0"/>
        <v>10</v>
      </c>
      <c r="D7" s="1"/>
      <c r="E7">
        <f t="shared" si="4"/>
        <v>-2.9450527037801724</v>
      </c>
      <c r="F7">
        <f t="shared" si="1"/>
        <v>-3.1963889718198271</v>
      </c>
      <c r="G7" s="1"/>
    </row>
    <row r="8" spans="1:15" x14ac:dyDescent="0.35">
      <c r="A8">
        <f t="shared" si="2"/>
        <v>30.143338918219825</v>
      </c>
      <c r="B8">
        <f t="shared" si="3"/>
        <v>91.306419406180169</v>
      </c>
      <c r="C8">
        <f t="shared" si="0"/>
        <v>12</v>
      </c>
      <c r="D8" s="1"/>
      <c r="E8">
        <f t="shared" si="4"/>
        <v>-2.4902267993172429</v>
      </c>
      <c r="F8">
        <f t="shared" si="1"/>
        <v>-3.6260812494787924</v>
      </c>
      <c r="G8" s="1"/>
    </row>
    <row r="9" spans="1:15" x14ac:dyDescent="0.35">
      <c r="A9">
        <f t="shared" si="2"/>
        <v>27.653112118902584</v>
      </c>
      <c r="B9">
        <f t="shared" si="3"/>
        <v>87.680338156701382</v>
      </c>
      <c r="C9">
        <f t="shared" si="0"/>
        <v>14</v>
      </c>
      <c r="D9" s="1"/>
      <c r="E9">
        <f t="shared" si="4"/>
        <v>-2.083957231450853</v>
      </c>
      <c r="F9">
        <f t="shared" si="1"/>
        <v>-3.9187653723290268</v>
      </c>
      <c r="G9" s="1"/>
    </row>
    <row r="10" spans="1:15" x14ac:dyDescent="0.35">
      <c r="A10">
        <f t="shared" si="2"/>
        <v>25.569154887451731</v>
      </c>
      <c r="B10">
        <f t="shared" si="3"/>
        <v>83.761572784372362</v>
      </c>
      <c r="C10">
        <f t="shared" si="0"/>
        <v>16</v>
      </c>
      <c r="D10" s="1"/>
      <c r="E10">
        <f t="shared" si="4"/>
        <v>-1.7265097675351839</v>
      </c>
      <c r="F10">
        <f t="shared" si="1"/>
        <v>-4.0927320221568797</v>
      </c>
      <c r="G10" s="1"/>
    </row>
    <row r="11" spans="1:15" x14ac:dyDescent="0.35">
      <c r="A11">
        <f t="shared" si="2"/>
        <v>23.842645119916547</v>
      </c>
      <c r="B11">
        <f t="shared" si="3"/>
        <v>79.668840762215481</v>
      </c>
      <c r="C11">
        <f t="shared" si="0"/>
        <v>18</v>
      </c>
      <c r="D11" s="1"/>
      <c r="E11">
        <f t="shared" si="4"/>
        <v>-1.4147672828256361</v>
      </c>
      <c r="F11">
        <f t="shared" si="1"/>
        <v>-4.1678522814042571</v>
      </c>
      <c r="G11" s="1"/>
    </row>
    <row r="12" spans="1:15" x14ac:dyDescent="0.35">
      <c r="A12">
        <f t="shared" si="2"/>
        <v>22.427877837090911</v>
      </c>
      <c r="B12">
        <f t="shared" si="3"/>
        <v>75.50098848081123</v>
      </c>
      <c r="C12">
        <f t="shared" si="0"/>
        <v>20</v>
      </c>
      <c r="D12" s="1"/>
      <c r="E12">
        <f t="shared" si="4"/>
        <v>-1.1438661087453936</v>
      </c>
      <c r="F12">
        <f t="shared" si="1"/>
        <v>-4.1634449556266393</v>
      </c>
      <c r="G12" s="1"/>
    </row>
    <row r="13" spans="1:15" x14ac:dyDescent="0.35">
      <c r="A13">
        <f t="shared" si="2"/>
        <v>21.284011728345519</v>
      </c>
      <c r="B13">
        <f t="shared" si="3"/>
        <v>71.337543525184586</v>
      </c>
      <c r="C13">
        <f t="shared" si="0"/>
        <v>22</v>
      </c>
      <c r="D13" s="1"/>
      <c r="E13">
        <f t="shared" si="4"/>
        <v>-0.9082970532882233</v>
      </c>
      <c r="F13">
        <f t="shared" si="1"/>
        <v>-4.0970561263956835</v>
      </c>
      <c r="G13" s="1"/>
    </row>
    <row r="14" spans="1:15" x14ac:dyDescent="0.35">
      <c r="A14">
        <f t="shared" si="2"/>
        <v>20.375714675057296</v>
      </c>
      <c r="B14">
        <f t="shared" si="3"/>
        <v>67.2404873987889</v>
      </c>
      <c r="C14">
        <f t="shared" si="0"/>
        <v>24</v>
      </c>
      <c r="D14" s="1"/>
      <c r="E14">
        <f t="shared" si="4"/>
        <v>-0.70257450419328649</v>
      </c>
      <c r="F14">
        <f t="shared" si="1"/>
        <v>-3.983902768179874</v>
      </c>
      <c r="G14" s="1"/>
    </row>
    <row r="15" spans="1:15" x14ac:dyDescent="0.35">
      <c r="A15">
        <f t="shared" si="2"/>
        <v>19.673140170864009</v>
      </c>
      <c r="B15">
        <f t="shared" si="3"/>
        <v>63.256584630609026</v>
      </c>
      <c r="C15">
        <f t="shared" si="0"/>
        <v>26</v>
      </c>
      <c r="D15" s="1"/>
      <c r="E15">
        <f t="shared" si="4"/>
        <v>-0.5215972952497856</v>
      </c>
      <c r="F15">
        <f t="shared" si="1"/>
        <v>-3.8367471507247166</v>
      </c>
      <c r="G15" s="1"/>
    </row>
    <row r="16" spans="1:15" x14ac:dyDescent="0.35">
      <c r="A16">
        <f t="shared" si="2"/>
        <v>19.151542875614222</v>
      </c>
      <c r="B16">
        <f t="shared" si="3"/>
        <v>59.419837479884308</v>
      </c>
      <c r="C16">
        <f t="shared" si="0"/>
        <v>28</v>
      </c>
      <c r="D16" s="1"/>
      <c r="E16">
        <f t="shared" si="4"/>
        <v>-0.36080884275464453</v>
      </c>
      <c r="F16">
        <f t="shared" si="1"/>
        <v>-3.6660206176723644</v>
      </c>
      <c r="G16" s="1"/>
    </row>
    <row r="17" spans="1:7" x14ac:dyDescent="0.35">
      <c r="A17">
        <f t="shared" si="2"/>
        <v>18.790734032859579</v>
      </c>
      <c r="B17">
        <f t="shared" si="3"/>
        <v>55.753816862211941</v>
      </c>
      <c r="C17">
        <f t="shared" si="0"/>
        <v>30</v>
      </c>
      <c r="D17" s="1"/>
      <c r="E17">
        <f t="shared" si="4"/>
        <v>-0.21623688466321456</v>
      </c>
      <c r="F17">
        <f t="shared" si="1"/>
        <v>-3.4800713982720222</v>
      </c>
      <c r="G17" s="1"/>
    </row>
    <row r="18" spans="1:7" x14ac:dyDescent="0.35">
      <c r="A18">
        <f t="shared" si="2"/>
        <v>18.574497148196365</v>
      </c>
      <c r="B18">
        <f t="shared" si="3"/>
        <v>52.273745463939917</v>
      </c>
      <c r="C18">
        <f t="shared" si="0"/>
        <v>32</v>
      </c>
      <c r="D18" s="1"/>
      <c r="E18">
        <f t="shared" si="4"/>
        <v>-8.4467357271352794E-2</v>
      </c>
      <c r="F18">
        <f t="shared" si="1"/>
        <v>-3.2854574743030032</v>
      </c>
      <c r="G18" s="1"/>
    </row>
    <row r="19" spans="1:7" x14ac:dyDescent="0.35">
      <c r="A19">
        <f t="shared" si="2"/>
        <v>18.490029790925011</v>
      </c>
      <c r="B19">
        <f t="shared" si="3"/>
        <v>48.988287989636916</v>
      </c>
      <c r="C19">
        <f t="shared" si="0"/>
        <v>34</v>
      </c>
      <c r="D19" s="1"/>
      <c r="E19">
        <f t="shared" si="4"/>
        <v>3.7413170422900155E-2</v>
      </c>
      <c r="F19">
        <f t="shared" si="1"/>
        <v>-3.0872389902940904</v>
      </c>
      <c r="G19" s="1"/>
    </row>
    <row r="20" spans="1:7" x14ac:dyDescent="0.35">
      <c r="A20">
        <f t="shared" si="2"/>
        <v>18.527442961347912</v>
      </c>
      <c r="B20">
        <f t="shared" si="3"/>
        <v>45.901048999342827</v>
      </c>
      <c r="C20">
        <f t="shared" si="0"/>
        <v>36</v>
      </c>
      <c r="D20" s="1"/>
      <c r="E20">
        <f t="shared" si="4"/>
        <v>0.15188616173207148</v>
      </c>
      <c r="F20">
        <f t="shared" si="1"/>
        <v>-2.889246765531563</v>
      </c>
      <c r="G20" s="1"/>
    </row>
    <row r="21" spans="1:7" x14ac:dyDescent="0.35">
      <c r="A21">
        <f t="shared" si="2"/>
        <v>18.679329123079984</v>
      </c>
      <c r="B21">
        <f t="shared" si="3"/>
        <v>43.011802233811267</v>
      </c>
      <c r="C21">
        <f t="shared" si="0"/>
        <v>38</v>
      </c>
      <c r="D21" s="1"/>
      <c r="E21">
        <f t="shared" si="4"/>
        <v>0.26106969210362352</v>
      </c>
      <c r="F21">
        <f t="shared" si="1"/>
        <v>-2.6943170031767512</v>
      </c>
      <c r="G21" s="1"/>
    </row>
    <row r="22" spans="1:7" x14ac:dyDescent="0.35">
      <c r="A22">
        <f t="shared" si="2"/>
        <v>18.94039881518361</v>
      </c>
      <c r="B22">
        <f t="shared" si="3"/>
        <v>40.317485230634517</v>
      </c>
      <c r="C22">
        <f t="shared" si="0"/>
        <v>40</v>
      </c>
      <c r="D22" s="1"/>
      <c r="E22">
        <f t="shared" si="4"/>
        <v>0.36678138253137571</v>
      </c>
      <c r="F22">
        <f t="shared" si="1"/>
        <v>-2.5044900240764658</v>
      </c>
      <c r="G22" s="1"/>
    </row>
    <row r="23" spans="1:7" x14ac:dyDescent="0.35">
      <c r="A23">
        <f t="shared" si="2"/>
        <v>19.307180197714985</v>
      </c>
      <c r="B23">
        <f t="shared" si="3"/>
        <v>37.81299520655805</v>
      </c>
      <c r="C23">
        <f t="shared" si="0"/>
        <v>42</v>
      </c>
      <c r="D23" s="1"/>
      <c r="E23">
        <f t="shared" si="4"/>
        <v>0.47059339523480026</v>
      </c>
      <c r="F23">
        <f t="shared" si="1"/>
        <v>-2.321174896119107</v>
      </c>
      <c r="G23" s="1"/>
    </row>
    <row r="24" spans="1:7" x14ac:dyDescent="0.35">
      <c r="A24">
        <f t="shared" si="2"/>
        <v>19.777773592949785</v>
      </c>
      <c r="B24">
        <f t="shared" si="3"/>
        <v>35.491820310438939</v>
      </c>
      <c r="C24">
        <f t="shared" si="0"/>
        <v>44</v>
      </c>
      <c r="D24" s="1"/>
      <c r="E24">
        <f t="shared" si="4"/>
        <v>0.57387898629194245</v>
      </c>
      <c r="F24">
        <f t="shared" si="1"/>
        <v>-2.1452836580408583</v>
      </c>
      <c r="G24" s="1"/>
    </row>
    <row r="25" spans="1:7" x14ac:dyDescent="0.35">
      <c r="A25">
        <f t="shared" si="2"/>
        <v>20.351652579241726</v>
      </c>
      <c r="B25">
        <f t="shared" si="3"/>
        <v>33.346536652398079</v>
      </c>
      <c r="C25">
        <f t="shared" si="0"/>
        <v>46</v>
      </c>
      <c r="D25" s="1"/>
      <c r="E25">
        <f t="shared" si="4"/>
        <v>0.67785100058306069</v>
      </c>
      <c r="F25">
        <f t="shared" si="1"/>
        <v>-1.9773394078986957</v>
      </c>
      <c r="G25" s="1"/>
    </row>
    <row r="26" spans="1:7" x14ac:dyDescent="0.35">
      <c r="A26">
        <f t="shared" si="2"/>
        <v>21.029503579824787</v>
      </c>
      <c r="B26">
        <f t="shared" si="3"/>
        <v>31.369197244499382</v>
      </c>
      <c r="C26">
        <f t="shared" si="0"/>
        <v>48</v>
      </c>
      <c r="D26" s="1"/>
      <c r="E26">
        <f t="shared" si="4"/>
        <v>0.78359306648361948</v>
      </c>
      <c r="F26">
        <f t="shared" si="1"/>
        <v>-1.8175624329510793</v>
      </c>
      <c r="G26" s="1"/>
    </row>
    <row r="27" spans="1:7" x14ac:dyDescent="0.35">
      <c r="A27">
        <f t="shared" si="2"/>
        <v>21.813096646308406</v>
      </c>
      <c r="B27">
        <f t="shared" si="3"/>
        <v>29.551634811548304</v>
      </c>
      <c r="C27">
        <f t="shared" si="0"/>
        <v>50</v>
      </c>
      <c r="D27" s="1"/>
      <c r="E27">
        <f t="shared" si="4"/>
        <v>0.89208433222941053</v>
      </c>
      <c r="F27">
        <f t="shared" si="1"/>
        <v>-1.6659381487534004</v>
      </c>
      <c r="G27" s="1"/>
    </row>
    <row r="28" spans="1:7" x14ac:dyDescent="0.35">
      <c r="A28">
        <f t="shared" si="2"/>
        <v>22.705180978537815</v>
      </c>
      <c r="B28">
        <f t="shared" si="3"/>
        <v>27.885696662794903</v>
      </c>
      <c r="C28">
        <f t="shared" si="0"/>
        <v>52</v>
      </c>
      <c r="D28" s="1"/>
      <c r="E28">
        <f t="shared" si="4"/>
        <v>1.0042185189710491</v>
      </c>
      <c r="F28">
        <f t="shared" si="1"/>
        <v>-1.5222700873967581</v>
      </c>
      <c r="G28" s="1"/>
    </row>
    <row r="29" spans="1:7" x14ac:dyDescent="0.35">
      <c r="A29">
        <f t="shared" si="2"/>
        <v>23.709399497508862</v>
      </c>
      <c r="B29">
        <f t="shared" si="3"/>
        <v>26.363426575398144</v>
      </c>
      <c r="C29">
        <f t="shared" si="0"/>
        <v>54</v>
      </c>
      <c r="D29" s="1"/>
      <c r="E29">
        <f t="shared" si="4"/>
        <v>1.1208179241521732</v>
      </c>
      <c r="F29">
        <f t="shared" si="1"/>
        <v>-1.3862206319411015</v>
      </c>
      <c r="G29" s="1"/>
    </row>
    <row r="30" spans="1:7" x14ac:dyDescent="0.35">
      <c r="A30">
        <f t="shared" si="2"/>
        <v>24.830217421661036</v>
      </c>
      <c r="B30">
        <f t="shared" si="3"/>
        <v>24.977205943457044</v>
      </c>
      <c r="C30">
        <f t="shared" si="0"/>
        <v>56</v>
      </c>
      <c r="D30" s="1"/>
      <c r="E30">
        <f t="shared" si="4"/>
        <v>1.2426428338428182</v>
      </c>
      <c r="F30">
        <f t="shared" si="1"/>
        <v>-1.2573416860224191</v>
      </c>
      <c r="G30" s="1"/>
    </row>
    <row r="31" spans="1:7" x14ac:dyDescent="0.35">
      <c r="A31">
        <f t="shared" si="2"/>
        <v>26.072860255503855</v>
      </c>
      <c r="B31">
        <f t="shared" si="3"/>
        <v>23.719864257434626</v>
      </c>
      <c r="C31">
        <f t="shared" si="0"/>
        <v>58</v>
      </c>
      <c r="D31" s="1"/>
      <c r="E31">
        <f t="shared" si="4"/>
        <v>1.3703966134231582</v>
      </c>
      <c r="F31">
        <f t="shared" si="1"/>
        <v>-1.1350970136162355</v>
      </c>
      <c r="G31" s="1"/>
    </row>
    <row r="32" spans="1:7" x14ac:dyDescent="0.35">
      <c r="A32">
        <f t="shared" si="2"/>
        <v>27.443256868927012</v>
      </c>
      <c r="B32">
        <f t="shared" si="3"/>
        <v>22.584767243818391</v>
      </c>
      <c r="C32">
        <f t="shared" si="0"/>
        <v>60</v>
      </c>
      <c r="D32" s="1"/>
      <c r="E32">
        <f t="shared" si="4"/>
        <v>1.5047265492986275</v>
      </c>
      <c r="F32">
        <f t="shared" si="1"/>
        <v>-1.0188775867877657</v>
      </c>
      <c r="G32" s="1"/>
    </row>
    <row r="33" spans="1:7" x14ac:dyDescent="0.35">
      <c r="A33">
        <f t="shared" si="2"/>
        <v>28.94798341822564</v>
      </c>
      <c r="B33">
        <f t="shared" si="3"/>
        <v>21.565889657030624</v>
      </c>
      <c r="C33">
        <f t="shared" si="0"/>
        <v>62</v>
      </c>
      <c r="D33" s="1"/>
      <c r="E33">
        <f t="shared" si="4"/>
        <v>1.6462203094405514</v>
      </c>
      <c r="F33">
        <f t="shared" si="1"/>
        <v>-0.90801093332104976</v>
      </c>
      <c r="G33" s="1"/>
    </row>
    <row r="34" spans="1:7" x14ac:dyDescent="0.35">
      <c r="A34">
        <f t="shared" si="2"/>
        <v>30.594203727666191</v>
      </c>
      <c r="B34">
        <f t="shared" si="3"/>
        <v>20.657878723709572</v>
      </c>
      <c r="C34">
        <f t="shared" si="0"/>
        <v>64</v>
      </c>
      <c r="D34" s="1"/>
      <c r="E34">
        <f t="shared" si="4"/>
        <v>1.7953976722574361</v>
      </c>
      <c r="F34">
        <f t="shared" si="1"/>
        <v>-0.80176517186177443</v>
      </c>
      <c r="G34" s="1"/>
    </row>
    <row r="35" spans="1:7" x14ac:dyDescent="0.35">
      <c r="A35">
        <f t="shared" si="2"/>
        <v>32.389601399923627</v>
      </c>
      <c r="B35">
        <f t="shared" si="3"/>
        <v>19.856113551847798</v>
      </c>
      <c r="C35">
        <f t="shared" si="0"/>
        <v>66</v>
      </c>
      <c r="D35" s="1"/>
      <c r="E35">
        <f t="shared" si="4"/>
        <v>1.9526969334004192</v>
      </c>
      <c r="F35">
        <f t="shared" si="1"/>
        <v>-0.69934814859283589</v>
      </c>
      <c r="G35" s="1"/>
    </row>
    <row r="36" spans="1:7" x14ac:dyDescent="0.35">
      <c r="A36">
        <f t="shared" si="2"/>
        <v>34.342298333324045</v>
      </c>
      <c r="B36">
        <f t="shared" si="3"/>
        <v>19.156765403254962</v>
      </c>
      <c r="C36">
        <f t="shared" si="0"/>
        <v>68</v>
      </c>
      <c r="D36" s="1"/>
      <c r="E36">
        <f t="shared" si="4"/>
        <v>2.118455128172239</v>
      </c>
      <c r="F36">
        <f t="shared" si="1"/>
        <v>-0.59990183516533091</v>
      </c>
      <c r="G36" s="1"/>
    </row>
    <row r="37" spans="1:7" x14ac:dyDescent="0.35">
      <c r="A37">
        <f t="shared" si="2"/>
        <v>36.460753461496282</v>
      </c>
      <c r="B37">
        <f t="shared" si="3"/>
        <v>18.556863568089632</v>
      </c>
      <c r="C37">
        <f t="shared" si="0"/>
        <v>70</v>
      </c>
      <c r="D37" s="1"/>
      <c r="E37">
        <f t="shared" si="4"/>
        <v>2.2928808910001512</v>
      </c>
      <c r="F37">
        <f t="shared" si="1"/>
        <v>-0.50249190165948643</v>
      </c>
      <c r="G37" s="1"/>
    </row>
    <row r="38" spans="1:7" x14ac:dyDescent="0.35">
      <c r="A38">
        <f t="shared" si="2"/>
        <v>38.753634352496434</v>
      </c>
      <c r="B38">
        <f t="shared" si="3"/>
        <v>18.054371666430146</v>
      </c>
      <c r="C38">
        <f t="shared" si="0"/>
        <v>72</v>
      </c>
      <c r="D38" s="1"/>
      <c r="E38">
        <f t="shared" si="4"/>
        <v>2.4760183991998321</v>
      </c>
      <c r="F38">
        <f t="shared" si="1"/>
        <v>-0.40609213059320348</v>
      </c>
      <c r="G38" s="1"/>
    </row>
    <row r="39" spans="1:7" x14ac:dyDescent="0.35">
      <c r="A39">
        <f t="shared" si="2"/>
        <v>41.229652751696264</v>
      </c>
      <c r="B39">
        <f t="shared" si="3"/>
        <v>17.648279535836942</v>
      </c>
      <c r="C39">
        <f t="shared" si="0"/>
        <v>74</v>
      </c>
      <c r="D39" s="1"/>
      <c r="E39">
        <f t="shared" si="4"/>
        <v>2.6677004013147778</v>
      </c>
      <c r="F39">
        <f t="shared" si="1"/>
        <v>-0.30956307972884511</v>
      </c>
      <c r="G39" s="1"/>
    </row>
    <row r="40" spans="1:7" x14ac:dyDescent="0.35">
      <c r="A40">
        <f t="shared" si="2"/>
        <v>43.897353153011039</v>
      </c>
      <c r="B40">
        <f t="shared" si="3"/>
        <v>17.338716456108095</v>
      </c>
      <c r="C40">
        <f t="shared" si="0"/>
        <v>76</v>
      </c>
      <c r="D40" s="1"/>
      <c r="E40">
        <f t="shared" si="4"/>
        <v>2.8674877963137018</v>
      </c>
      <c r="F40">
        <f t="shared" si="1"/>
        <v>-0.21162412662340735</v>
      </c>
      <c r="G40" s="1"/>
    </row>
    <row r="41" spans="1:7" x14ac:dyDescent="0.35">
      <c r="A41">
        <f t="shared" si="2"/>
        <v>46.764840949324743</v>
      </c>
      <c r="B41">
        <f t="shared" si="3"/>
        <v>17.12709232948469</v>
      </c>
      <c r="C41">
        <f t="shared" si="0"/>
        <v>78</v>
      </c>
      <c r="D41" s="1"/>
      <c r="E41">
        <f t="shared" si="4"/>
        <v>3.0745925975069719</v>
      </c>
      <c r="F41">
        <f t="shared" si="1"/>
        <v>-0.11081773552296648</v>
      </c>
      <c r="G41" s="1"/>
    </row>
    <row r="42" spans="1:7" x14ac:dyDescent="0.35">
      <c r="A42">
        <f t="shared" si="2"/>
        <v>49.839433546831714</v>
      </c>
      <c r="B42">
        <f t="shared" si="3"/>
        <v>17.016274593961722</v>
      </c>
      <c r="C42">
        <f t="shared" si="0"/>
        <v>80</v>
      </c>
      <c r="D42" s="1"/>
      <c r="E42">
        <f t="shared" si="4"/>
        <v>3.2877803810023796</v>
      </c>
      <c r="F42">
        <f t="shared" si="1"/>
        <v>-5.4644857153802739E-3</v>
      </c>
      <c r="G42" s="1"/>
    </row>
    <row r="43" spans="1:7" x14ac:dyDescent="0.35">
      <c r="A43">
        <f t="shared" si="2"/>
        <v>53.127213927834092</v>
      </c>
      <c r="B43">
        <f t="shared" si="3"/>
        <v>17.010810108246343</v>
      </c>
      <c r="C43">
        <f t="shared" si="0"/>
        <v>82</v>
      </c>
      <c r="D43" s="1"/>
      <c r="E43">
        <f t="shared" si="4"/>
        <v>3.5052474973702772</v>
      </c>
      <c r="F43">
        <f t="shared" si="1"/>
        <v>0.10639288458849783</v>
      </c>
      <c r="G43" s="1"/>
    </row>
    <row r="44" spans="1:7" x14ac:dyDescent="0.35">
      <c r="A44">
        <f t="shared" si="2"/>
        <v>56.632461425204369</v>
      </c>
      <c r="B44">
        <f t="shared" si="3"/>
        <v>17.117202992834841</v>
      </c>
      <c r="C44">
        <f t="shared" si="0"/>
        <v>84</v>
      </c>
      <c r="D44" s="1"/>
      <c r="E44">
        <f t="shared" si="4"/>
        <v>3.7244674661222135</v>
      </c>
      <c r="F44">
        <f t="shared" si="1"/>
        <v>0.22705837711473964</v>
      </c>
      <c r="G44" s="1"/>
    </row>
    <row r="45" spans="1:7" x14ac:dyDescent="0.35">
      <c r="A45">
        <f t="shared" si="2"/>
        <v>60.356928891326582</v>
      </c>
      <c r="B45">
        <f t="shared" si="3"/>
        <v>17.344261369949582</v>
      </c>
      <c r="C45">
        <f t="shared" si="0"/>
        <v>86</v>
      </c>
      <c r="D45" s="1"/>
      <c r="E45">
        <f t="shared" si="4"/>
        <v>3.942000188775399</v>
      </c>
      <c r="F45">
        <f t="shared" si="1"/>
        <v>0.35926656336230045</v>
      </c>
      <c r="G45" s="1"/>
    </row>
    <row r="46" spans="1:7" x14ac:dyDescent="0.35">
      <c r="A46">
        <f t="shared" si="2"/>
        <v>64.298929080101985</v>
      </c>
      <c r="B46">
        <f t="shared" si="3"/>
        <v>17.703527933311882</v>
      </c>
      <c r="C46">
        <f t="shared" si="0"/>
        <v>88</v>
      </c>
      <c r="D46" s="1"/>
      <c r="E46">
        <f t="shared" si="4"/>
        <v>4.1532571339069486</v>
      </c>
      <c r="F46">
        <f t="shared" si="1"/>
        <v>0.50628298077206235</v>
      </c>
      <c r="G46" s="1"/>
    </row>
    <row r="47" spans="1:7" x14ac:dyDescent="0.35">
      <c r="A47">
        <f t="shared" si="2"/>
        <v>68.452186214008933</v>
      </c>
      <c r="B47">
        <f t="shared" si="3"/>
        <v>18.209810914083945</v>
      </c>
      <c r="C47">
        <f t="shared" si="0"/>
        <v>90</v>
      </c>
      <c r="D47" s="1"/>
      <c r="E47">
        <f t="shared" si="4"/>
        <v>4.3522158861753599</v>
      </c>
      <c r="F47">
        <f t="shared" si="1"/>
        <v>0.67202164381713847</v>
      </c>
      <c r="G47" s="1"/>
    </row>
    <row r="48" spans="1:7" x14ac:dyDescent="0.35">
      <c r="A48">
        <f t="shared" si="2"/>
        <v>72.804402100184291</v>
      </c>
      <c r="B48">
        <f t="shared" si="3"/>
        <v>18.881832557901085</v>
      </c>
      <c r="C48">
        <f t="shared" si="0"/>
        <v>92</v>
      </c>
      <c r="D48" s="1"/>
      <c r="E48">
        <f t="shared" si="4"/>
        <v>4.531079150150866</v>
      </c>
      <c r="F48">
        <f t="shared" si="1"/>
        <v>0.86117780407745514</v>
      </c>
      <c r="G48" s="1"/>
    </row>
    <row r="49" spans="1:7" x14ac:dyDescent="0.35">
      <c r="A49">
        <f t="shared" si="2"/>
        <v>77.335481250335164</v>
      </c>
      <c r="B49">
        <f t="shared" si="3"/>
        <v>19.743010361978541</v>
      </c>
      <c r="C49">
        <f t="shared" si="0"/>
        <v>94</v>
      </c>
      <c r="D49" s="1"/>
      <c r="E49">
        <f t="shared" si="4"/>
        <v>4.6798777096855879</v>
      </c>
      <c r="F49">
        <f t="shared" si="1"/>
        <v>1.0793693791500747</v>
      </c>
      <c r="G49" s="1"/>
    </row>
    <row r="50" spans="1:7" x14ac:dyDescent="0.35">
      <c r="A50">
        <f t="shared" si="2"/>
        <v>82.015358960020748</v>
      </c>
      <c r="B50">
        <f t="shared" si="3"/>
        <v>20.822379741128614</v>
      </c>
      <c r="C50">
        <f t="shared" si="0"/>
        <v>96</v>
      </c>
      <c r="D50" s="1"/>
      <c r="E50">
        <f t="shared" si="4"/>
        <v>4.7860259982610209</v>
      </c>
      <c r="F50">
        <f t="shared" si="1"/>
        <v>1.3332719236281929</v>
      </c>
      <c r="G50" s="1"/>
    </row>
    <row r="51" spans="1:7" x14ac:dyDescent="0.35">
      <c r="A51">
        <f t="shared" si="2"/>
        <v>86.801384958281773</v>
      </c>
      <c r="B51">
        <f t="shared" si="3"/>
        <v>22.155651664756807</v>
      </c>
      <c r="C51">
        <f t="shared" si="0"/>
        <v>98</v>
      </c>
      <c r="D51" s="1"/>
      <c r="E51">
        <f t="shared" si="4"/>
        <v>4.8338559975198745</v>
      </c>
      <c r="F51">
        <f t="shared" si="1"/>
        <v>1.6307173318326234</v>
      </c>
      <c r="G51" s="1"/>
    </row>
    <row r="52" spans="1:7" x14ac:dyDescent="0.35">
      <c r="A52">
        <f t="shared" si="2"/>
        <v>91.635240955801649</v>
      </c>
      <c r="B52">
        <f t="shared" si="3"/>
        <v>23.786368996589431</v>
      </c>
      <c r="C52">
        <f t="shared" si="0"/>
        <v>100</v>
      </c>
      <c r="D52" s="1"/>
      <c r="E52">
        <f t="shared" si="4"/>
        <v>4.8041847866480003</v>
      </c>
      <c r="F52">
        <f t="shared" si="1"/>
        <v>1.9807024092732215</v>
      </c>
      <c r="G52" s="1"/>
    </row>
    <row r="53" spans="1:7" x14ac:dyDescent="0.35">
      <c r="A53">
        <f t="shared" si="2"/>
        <v>96.439425742449643</v>
      </c>
      <c r="B53">
        <f t="shared" si="3"/>
        <v>25.767071405862652</v>
      </c>
      <c r="C53">
        <f t="shared" si="0"/>
        <v>102</v>
      </c>
      <c r="D53" s="1"/>
      <c r="E53">
        <f t="shared" si="4"/>
        <v>4.674019435352788</v>
      </c>
      <c r="F53">
        <f t="shared" si="1"/>
        <v>2.3932159983059123</v>
      </c>
      <c r="G53" s="1"/>
    </row>
    <row r="54" spans="1:7" x14ac:dyDescent="0.35">
      <c r="A54">
        <f t="shared" si="2"/>
        <v>101.11344517780243</v>
      </c>
      <c r="B54">
        <f t="shared" si="3"/>
        <v>28.160287404168564</v>
      </c>
      <c r="C54">
        <f t="shared" si="0"/>
        <v>104</v>
      </c>
      <c r="D54" s="1"/>
      <c r="E54">
        <f t="shared" si="4"/>
        <v>4.4165771645151271</v>
      </c>
      <c r="F54">
        <f t="shared" si="1"/>
        <v>2.8787386128482608</v>
      </c>
      <c r="G54" s="1"/>
    </row>
    <row r="55" spans="1:7" x14ac:dyDescent="0.35">
      <c r="A55">
        <f t="shared" si="2"/>
        <v>105.53002234231757</v>
      </c>
      <c r="B55">
        <f t="shared" si="3"/>
        <v>31.039026017016823</v>
      </c>
      <c r="C55">
        <f t="shared" si="0"/>
        <v>106</v>
      </c>
      <c r="D55" s="1"/>
      <c r="E55">
        <f t="shared" si="4"/>
        <v>4.0019040161126336</v>
      </c>
      <c r="F55">
        <f t="shared" si="1"/>
        <v>3.4471956164174409</v>
      </c>
      <c r="G55" s="1"/>
    </row>
    <row r="56" spans="1:7" x14ac:dyDescent="0.35">
      <c r="A56">
        <f t="shared" si="2"/>
        <v>109.5319263584302</v>
      </c>
      <c r="B56">
        <f t="shared" si="3"/>
        <v>34.486221633434262</v>
      </c>
      <c r="C56">
        <f t="shared" si="0"/>
        <v>108</v>
      </c>
      <c r="D56" s="1"/>
      <c r="E56">
        <f t="shared" si="4"/>
        <v>3.3985080591753718</v>
      </c>
      <c r="F56">
        <f t="shared" si="1"/>
        <v>4.1060624133242216</v>
      </c>
      <c r="G56" s="1"/>
    </row>
    <row r="57" spans="1:7" x14ac:dyDescent="0.35">
      <c r="A57">
        <f t="shared" si="2"/>
        <v>112.93043441760557</v>
      </c>
      <c r="B57">
        <f t="shared" si="3"/>
        <v>38.592284046758486</v>
      </c>
      <c r="C57">
        <f t="shared" si="0"/>
        <v>110</v>
      </c>
      <c r="D57" s="1"/>
      <c r="E57">
        <f t="shared" si="4"/>
        <v>2.5765566366244279</v>
      </c>
      <c r="F57">
        <f t="shared" si="1"/>
        <v>4.8572584004602817</v>
      </c>
      <c r="G57" s="1"/>
    </row>
    <row r="58" spans="1:7" x14ac:dyDescent="0.35">
      <c r="A58">
        <f t="shared" si="2"/>
        <v>115.50699105423</v>
      </c>
      <c r="B58">
        <f t="shared" si="3"/>
        <v>43.449542447218768</v>
      </c>
      <c r="C58">
        <f t="shared" si="0"/>
        <v>112</v>
      </c>
      <c r="D58" s="1"/>
      <c r="E58">
        <f t="shared" si="4"/>
        <v>1.5132472839004301</v>
      </c>
      <c r="F58">
        <f t="shared" si="1"/>
        <v>5.6924975768006929</v>
      </c>
      <c r="G58" s="1"/>
    </row>
    <row r="59" spans="1:7" x14ac:dyDescent="0.35">
      <c r="A59">
        <f t="shared" si="2"/>
        <v>117.02023833813043</v>
      </c>
      <c r="B59">
        <f t="shared" si="3"/>
        <v>49.142040024019458</v>
      </c>
      <c r="C59">
        <f t="shared" si="0"/>
        <v>114</v>
      </c>
      <c r="D59" s="1"/>
      <c r="E59">
        <f t="shared" si="4"/>
        <v>0.20079736174764129</v>
      </c>
      <c r="F59">
        <f t="shared" si="1"/>
        <v>6.5870224696634567</v>
      </c>
      <c r="G59" s="1"/>
    </row>
    <row r="60" spans="1:7" x14ac:dyDescent="0.35">
      <c r="A60">
        <f t="shared" si="2"/>
        <v>117.22103569987807</v>
      </c>
      <c r="B60">
        <f t="shared" si="3"/>
        <v>55.729062493682918</v>
      </c>
      <c r="C60">
        <f t="shared" si="0"/>
        <v>116</v>
      </c>
      <c r="D60" s="1"/>
      <c r="E60">
        <f t="shared" si="4"/>
        <v>-1.3431332781976746</v>
      </c>
      <c r="F60">
        <f t="shared" si="1"/>
        <v>7.4923305988171913</v>
      </c>
      <c r="G60" s="1"/>
    </row>
    <row r="61" spans="1:7" x14ac:dyDescent="0.35">
      <c r="A61">
        <f t="shared" si="2"/>
        <v>115.8779024216804</v>
      </c>
      <c r="B61">
        <f t="shared" si="3"/>
        <v>63.221393092500108</v>
      </c>
      <c r="C61">
        <f t="shared" si="0"/>
        <v>118</v>
      </c>
      <c r="D61" s="1"/>
      <c r="E61">
        <f t="shared" si="4"/>
        <v>-3.0641345973028145</v>
      </c>
      <c r="F61">
        <f t="shared" si="1"/>
        <v>8.3297855302208426</v>
      </c>
      <c r="G61" s="1"/>
    </row>
    <row r="62" spans="1:7" x14ac:dyDescent="0.35">
      <c r="A62">
        <f t="shared" si="2"/>
        <v>112.81376782437759</v>
      </c>
      <c r="B62">
        <f t="shared" si="3"/>
        <v>71.551178622720954</v>
      </c>
      <c r="C62">
        <f t="shared" si="0"/>
        <v>120</v>
      </c>
      <c r="D62" s="1"/>
      <c r="E62">
        <f t="shared" si="4"/>
        <v>-4.8625393229706617</v>
      </c>
      <c r="F62">
        <f t="shared" si="1"/>
        <v>8.9887982431363262</v>
      </c>
      <c r="G62" s="1"/>
    </row>
    <row r="63" spans="1:7" x14ac:dyDescent="0.35">
      <c r="A63">
        <f t="shared" si="2"/>
        <v>107.95122850140693</v>
      </c>
      <c r="B63">
        <f t="shared" si="3"/>
        <v>80.539976865857284</v>
      </c>
      <c r="C63">
        <f t="shared" si="0"/>
        <v>122</v>
      </c>
      <c r="D63" s="1"/>
      <c r="E63">
        <f t="shared" si="4"/>
        <v>-6.593656042147682</v>
      </c>
      <c r="F63">
        <f t="shared" si="1"/>
        <v>9.3347812057026456</v>
      </c>
      <c r="G63" s="1"/>
    </row>
    <row r="64" spans="1:7" x14ac:dyDescent="0.35">
      <c r="A64">
        <f t="shared" si="2"/>
        <v>101.35757245925925</v>
      </c>
      <c r="B64">
        <f t="shared" si="3"/>
        <v>89.874758071559924</v>
      </c>
      <c r="C64">
        <f t="shared" si="0"/>
        <v>124</v>
      </c>
      <c r="D64" s="1"/>
      <c r="E64">
        <f t="shared" si="4"/>
        <v>-8.0832173610671365</v>
      </c>
      <c r="F64">
        <f t="shared" si="1"/>
        <v>9.2314987998370643</v>
      </c>
      <c r="G64" s="1"/>
    </row>
    <row r="65" spans="1:7" x14ac:dyDescent="0.35">
      <c r="A65">
        <f t="shared" si="2"/>
        <v>93.274355098192103</v>
      </c>
      <c r="B65">
        <f t="shared" si="3"/>
        <v>99.106256871396994</v>
      </c>
      <c r="C65">
        <f t="shared" si="0"/>
        <v>126</v>
      </c>
      <c r="D65" s="1"/>
      <c r="E65">
        <f t="shared" si="4"/>
        <v>-9.1607088819314413</v>
      </c>
      <c r="F65">
        <f t="shared" si="1"/>
        <v>8.5775187046109522</v>
      </c>
      <c r="G65" s="1"/>
    </row>
    <row r="66" spans="1:7" x14ac:dyDescent="0.35">
      <c r="A66">
        <f t="shared" si="2"/>
        <v>84.113646216260662</v>
      </c>
      <c r="B66">
        <f t="shared" si="3"/>
        <v>107.68377557600795</v>
      </c>
      <c r="C66">
        <f t="shared" si="0"/>
        <v>128</v>
      </c>
      <c r="D66" s="1"/>
      <c r="E66">
        <f t="shared" si="4"/>
        <v>-9.7039853824370184</v>
      </c>
      <c r="F66">
        <f t="shared" si="1"/>
        <v>7.3469724464622903</v>
      </c>
      <c r="G66" s="1"/>
    </row>
    <row r="67" spans="1:7" x14ac:dyDescent="0.35">
      <c r="A67">
        <f t="shared" si="2"/>
        <v>74.409660833823636</v>
      </c>
      <c r="B67">
        <f t="shared" si="3"/>
        <v>115.03074802247023</v>
      </c>
      <c r="C67">
        <f t="shared" si="0"/>
        <v>130</v>
      </c>
      <c r="D67" s="1"/>
      <c r="E67">
        <f t="shared" si="4"/>
        <v>-9.6778318082437131</v>
      </c>
      <c r="F67">
        <f t="shared" si="1"/>
        <v>5.6157230893790526</v>
      </c>
      <c r="G67" s="1"/>
    </row>
    <row r="68" spans="1:7" x14ac:dyDescent="0.35">
      <c r="A68">
        <f t="shared" ref="A68:A131" si="5">A67 +E67</f>
        <v>64.731829025579927</v>
      </c>
      <c r="B68">
        <f t="shared" ref="B68:B131" si="6">B67 + F67</f>
        <v>120.64647111184928</v>
      </c>
      <c r="C68">
        <f t="shared" ref="C68:C131" si="7">C67 +$O$2</f>
        <v>132</v>
      </c>
      <c r="D68" s="1"/>
      <c r="E68">
        <f t="shared" ref="E68:E131" si="8">(($K$2 * A68)*$O$2)-((($M$2 * A68) * B68)*$O$2)</f>
        <v>-9.1461505785455977</v>
      </c>
      <c r="F68">
        <f t="shared" ref="F68:F131" si="9">-(($N$2 * B68)*$O$2) + ((($L$2 *B68) * A68)*$O$2)</f>
        <v>3.554686369918663</v>
      </c>
      <c r="G68" s="1"/>
    </row>
    <row r="69" spans="1:7" x14ac:dyDescent="0.35">
      <c r="A69">
        <f t="shared" si="5"/>
        <v>55.585678447034326</v>
      </c>
      <c r="B69">
        <f t="shared" si="6"/>
        <v>124.20115748176795</v>
      </c>
      <c r="C69">
        <f t="shared" si="7"/>
        <v>134</v>
      </c>
      <c r="D69" s="1"/>
      <c r="E69">
        <f t="shared" si="8"/>
        <v>-8.249043360358618</v>
      </c>
      <c r="F69">
        <f t="shared" si="9"/>
        <v>1.3874954568852544</v>
      </c>
      <c r="G69" s="1"/>
    </row>
    <row r="70" spans="1:7" x14ac:dyDescent="0.35">
      <c r="A70">
        <f t="shared" si="5"/>
        <v>47.336635086675706</v>
      </c>
      <c r="B70">
        <f t="shared" si="6"/>
        <v>125.58865293865321</v>
      </c>
      <c r="C70">
        <f t="shared" si="7"/>
        <v>136</v>
      </c>
      <c r="D70" s="1"/>
      <c r="E70">
        <f t="shared" si="8"/>
        <v>-7.1562249617008087</v>
      </c>
      <c r="F70">
        <f t="shared" si="9"/>
        <v>-0.66897682349694421</v>
      </c>
      <c r="G70" s="1"/>
    </row>
    <row r="71" spans="1:7" x14ac:dyDescent="0.35">
      <c r="A71">
        <f t="shared" si="5"/>
        <v>40.180410124974898</v>
      </c>
      <c r="B71">
        <f t="shared" si="6"/>
        <v>124.91967611515626</v>
      </c>
      <c r="C71">
        <f t="shared" si="7"/>
        <v>138</v>
      </c>
      <c r="D71" s="1"/>
      <c r="E71">
        <f t="shared" si="8"/>
        <v>-6.020606625474529</v>
      </c>
      <c r="F71">
        <f t="shared" si="9"/>
        <v>-2.4533199735436071</v>
      </c>
      <c r="G71" s="1"/>
    </row>
    <row r="72" spans="1:7" x14ac:dyDescent="0.35">
      <c r="A72">
        <f t="shared" si="5"/>
        <v>34.15980349950037</v>
      </c>
      <c r="B72">
        <f t="shared" si="6"/>
        <v>122.46635614161266</v>
      </c>
      <c r="C72">
        <f t="shared" si="7"/>
        <v>140</v>
      </c>
      <c r="D72" s="1"/>
      <c r="E72">
        <f t="shared" si="8"/>
        <v>-4.9508729722446008</v>
      </c>
      <c r="F72">
        <f t="shared" si="9"/>
        <v>-3.8797822919666292</v>
      </c>
      <c r="G72" s="1"/>
    </row>
    <row r="73" spans="1:7" x14ac:dyDescent="0.35">
      <c r="A73">
        <f t="shared" si="5"/>
        <v>29.20893052725577</v>
      </c>
      <c r="B73">
        <f t="shared" si="6"/>
        <v>118.58657384964603</v>
      </c>
      <c r="C73">
        <f t="shared" si="7"/>
        <v>142</v>
      </c>
      <c r="D73" s="1"/>
      <c r="E73">
        <f t="shared" si="8"/>
        <v>-4.0066809413536166</v>
      </c>
      <c r="F73">
        <f t="shared" si="9"/>
        <v>-4.9310833908854095</v>
      </c>
      <c r="G73" s="1"/>
    </row>
    <row r="74" spans="1:7" x14ac:dyDescent="0.35">
      <c r="A74">
        <f t="shared" si="5"/>
        <v>25.202249585902152</v>
      </c>
      <c r="B74">
        <f t="shared" si="6"/>
        <v>113.65549045876062</v>
      </c>
      <c r="C74">
        <f t="shared" si="7"/>
        <v>144</v>
      </c>
      <c r="D74" s="1"/>
      <c r="E74">
        <f t="shared" si="8"/>
        <v>-3.2085231161093968</v>
      </c>
      <c r="F74">
        <f t="shared" si="9"/>
        <v>-5.6368009711764513</v>
      </c>
      <c r="G74" s="1"/>
    </row>
    <row r="75" spans="1:7" x14ac:dyDescent="0.35">
      <c r="A75">
        <f t="shared" si="5"/>
        <v>21.993726469792755</v>
      </c>
      <c r="B75">
        <f t="shared" si="6"/>
        <v>108.01868948758417</v>
      </c>
      <c r="C75">
        <f t="shared" si="7"/>
        <v>146</v>
      </c>
      <c r="D75" s="1"/>
      <c r="E75">
        <f t="shared" si="8"/>
        <v>-2.5520943734515336</v>
      </c>
      <c r="F75">
        <f t="shared" si="9"/>
        <v>-6.0504019283276094</v>
      </c>
      <c r="G75" s="1"/>
    </row>
    <row r="76" spans="1:7" x14ac:dyDescent="0.35">
      <c r="A76">
        <f t="shared" si="5"/>
        <v>19.44163209634122</v>
      </c>
      <c r="B76">
        <f t="shared" si="6"/>
        <v>101.96828755925657</v>
      </c>
      <c r="C76">
        <f t="shared" si="7"/>
        <v>148</v>
      </c>
      <c r="D76" s="1"/>
      <c r="E76">
        <f t="shared" si="8"/>
        <v>-2.0206966548078649</v>
      </c>
      <c r="F76">
        <f t="shared" si="9"/>
        <v>-6.2319688914836711</v>
      </c>
      <c r="G76" s="1"/>
    </row>
    <row r="77" spans="1:7" x14ac:dyDescent="0.35">
      <c r="A77">
        <f t="shared" si="5"/>
        <v>17.420935441533356</v>
      </c>
      <c r="B77">
        <f t="shared" si="6"/>
        <v>95.736318667772892</v>
      </c>
      <c r="C77">
        <f t="shared" si="7"/>
        <v>150</v>
      </c>
      <c r="D77" s="1"/>
      <c r="E77">
        <f t="shared" si="8"/>
        <v>-1.5935389096893371</v>
      </c>
      <c r="F77">
        <f t="shared" si="9"/>
        <v>-6.2379994129346166</v>
      </c>
      <c r="G77" s="1"/>
    </row>
    <row r="78" spans="1:7" x14ac:dyDescent="0.35">
      <c r="A78">
        <f t="shared" si="5"/>
        <v>15.827396531844018</v>
      </c>
      <c r="B78">
        <f t="shared" si="6"/>
        <v>89.498319254838279</v>
      </c>
      <c r="C78">
        <f t="shared" si="7"/>
        <v>152</v>
      </c>
      <c r="D78" s="1"/>
      <c r="E78">
        <f t="shared" si="8"/>
        <v>-1.2503111223753902</v>
      </c>
      <c r="F78">
        <f t="shared" si="9"/>
        <v>-6.1167811499240354</v>
      </c>
      <c r="G78" s="1"/>
    </row>
    <row r="79" spans="1:7" x14ac:dyDescent="0.35">
      <c r="A79">
        <f t="shared" si="5"/>
        <v>14.577085409468628</v>
      </c>
      <c r="B79">
        <f t="shared" si="6"/>
        <v>83.381538104914242</v>
      </c>
      <c r="C79">
        <f t="shared" si="7"/>
        <v>154</v>
      </c>
      <c r="D79" s="1"/>
      <c r="E79">
        <f t="shared" si="8"/>
        <v>-0.97321106410953306</v>
      </c>
      <c r="F79">
        <f t="shared" si="9"/>
        <v>-5.9072342054350298</v>
      </c>
      <c r="G79" s="1"/>
    </row>
    <row r="80" spans="1:7" x14ac:dyDescent="0.35">
      <c r="A80">
        <f t="shared" si="5"/>
        <v>13.603874345359095</v>
      </c>
      <c r="B80">
        <f t="shared" si="6"/>
        <v>77.47430389947921</v>
      </c>
      <c r="C80">
        <f t="shared" si="7"/>
        <v>156</v>
      </c>
      <c r="D80" s="1"/>
      <c r="E80">
        <f t="shared" si="8"/>
        <v>-0.74751395594944903</v>
      </c>
      <c r="F80">
        <f t="shared" si="9"/>
        <v>-5.6395289994625628</v>
      </c>
      <c r="G80" s="1"/>
    </row>
    <row r="81" spans="1:7" x14ac:dyDescent="0.35">
      <c r="A81">
        <f t="shared" si="5"/>
        <v>12.856360389409646</v>
      </c>
      <c r="B81">
        <f t="shared" si="6"/>
        <v>71.83477490001664</v>
      </c>
      <c r="C81">
        <f t="shared" si="7"/>
        <v>158</v>
      </c>
      <c r="D81" s="1"/>
      <c r="E81">
        <f t="shared" si="8"/>
        <v>-0.56143147027249962</v>
      </c>
      <c r="F81">
        <f t="shared" si="9"/>
        <v>-5.3364099807881988</v>
      </c>
      <c r="G81" s="1"/>
    </row>
    <row r="82" spans="1:7" x14ac:dyDescent="0.35">
      <c r="A82">
        <f t="shared" si="5"/>
        <v>12.294928919137147</v>
      </c>
      <c r="B82">
        <f t="shared" si="6"/>
        <v>66.498364919228436</v>
      </c>
      <c r="C82">
        <f t="shared" si="7"/>
        <v>160</v>
      </c>
      <c r="D82" s="1"/>
      <c r="E82">
        <f t="shared" si="8"/>
        <v>-0.40569244792779902</v>
      </c>
      <c r="F82">
        <f t="shared" si="9"/>
        <v>-5.0146511520813304</v>
      </c>
      <c r="G82" s="1"/>
    </row>
    <row r="83" spans="1:7" x14ac:dyDescent="0.35">
      <c r="A83">
        <f t="shared" si="5"/>
        <v>11.889236471209347</v>
      </c>
      <c r="B83">
        <f t="shared" si="6"/>
        <v>61.483713767147108</v>
      </c>
      <c r="C83">
        <f t="shared" si="7"/>
        <v>162</v>
      </c>
      <c r="D83" s="1"/>
      <c r="E83">
        <f t="shared" si="8"/>
        <v>-0.27306517709058875</v>
      </c>
      <c r="F83">
        <f t="shared" si="9"/>
        <v>-4.6863825525031881</v>
      </c>
      <c r="G83" s="1"/>
    </row>
    <row r="84" spans="1:7" x14ac:dyDescent="0.35">
      <c r="A84">
        <f t="shared" si="5"/>
        <v>11.616171294118759</v>
      </c>
      <c r="B84">
        <f t="shared" si="6"/>
        <v>56.797331214643918</v>
      </c>
      <c r="C84">
        <f t="shared" si="7"/>
        <v>164</v>
      </c>
      <c r="D84" s="1"/>
      <c r="E84">
        <f t="shared" si="8"/>
        <v>-0.15791792746432809</v>
      </c>
      <c r="F84">
        <f t="shared" si="9"/>
        <v>-4.3601980645881877</v>
      </c>
      <c r="G84" s="1"/>
    </row>
    <row r="85" spans="1:7" x14ac:dyDescent="0.35">
      <c r="A85">
        <f t="shared" si="5"/>
        <v>11.45825336665443</v>
      </c>
      <c r="B85">
        <f t="shared" si="6"/>
        <v>52.437133150055729</v>
      </c>
      <c r="C85">
        <f t="shared" si="7"/>
        <v>166</v>
      </c>
      <c r="D85" s="1"/>
      <c r="E85">
        <f t="shared" si="8"/>
        <v>-5.5850578243222149E-2</v>
      </c>
      <c r="F85">
        <f t="shared" si="9"/>
        <v>-4.0420374000969082</v>
      </c>
      <c r="G85" s="1"/>
    </row>
    <row r="86" spans="1:7" x14ac:dyDescent="0.35">
      <c r="A86">
        <f t="shared" si="5"/>
        <v>11.402402788411209</v>
      </c>
      <c r="B86">
        <f t="shared" si="6"/>
        <v>48.39509574995882</v>
      </c>
      <c r="C86">
        <f t="shared" si="7"/>
        <v>168</v>
      </c>
      <c r="D86" s="1"/>
      <c r="E86">
        <f t="shared" si="8"/>
        <v>3.6599529391605268E-2</v>
      </c>
      <c r="F86">
        <f t="shared" si="9"/>
        <v>-3.7358688255463668</v>
      </c>
      <c r="G86" s="1"/>
    </row>
    <row r="87" spans="1:7" x14ac:dyDescent="0.35">
      <c r="A87">
        <f t="shared" si="5"/>
        <v>11.439002317802814</v>
      </c>
      <c r="B87">
        <f t="shared" si="6"/>
        <v>44.659226924412451</v>
      </c>
      <c r="C87">
        <f t="shared" si="7"/>
        <v>170</v>
      </c>
      <c r="D87" s="1"/>
      <c r="E87">
        <f t="shared" si="8"/>
        <v>0.12218623118100957</v>
      </c>
      <c r="F87">
        <f t="shared" si="9"/>
        <v>-3.4442086918419736</v>
      </c>
      <c r="G87" s="1"/>
    </row>
    <row r="88" spans="1:7" x14ac:dyDescent="0.35">
      <c r="A88">
        <f t="shared" si="5"/>
        <v>11.561188548983823</v>
      </c>
      <c r="B88">
        <f t="shared" si="6"/>
        <v>41.215018232570479</v>
      </c>
      <c r="C88">
        <f t="shared" si="7"/>
        <v>172</v>
      </c>
      <c r="D88" s="1"/>
      <c r="E88">
        <f t="shared" si="8"/>
        <v>0.20312966122527565</v>
      </c>
      <c r="F88">
        <f t="shared" si="9"/>
        <v>-3.1685126295839412</v>
      </c>
      <c r="G88" s="1"/>
    </row>
    <row r="89" spans="1:7" x14ac:dyDescent="0.35">
      <c r="A89">
        <f t="shared" si="5"/>
        <v>11.764318210209099</v>
      </c>
      <c r="B89">
        <f t="shared" si="6"/>
        <v>38.046505602986535</v>
      </c>
      <c r="C89">
        <f t="shared" si="7"/>
        <v>174</v>
      </c>
      <c r="D89" s="1"/>
      <c r="E89">
        <f t="shared" si="8"/>
        <v>0.28124942362083583</v>
      </c>
      <c r="F89">
        <f t="shared" si="9"/>
        <v>-2.9094681628985795</v>
      </c>
      <c r="G89" s="1"/>
    </row>
    <row r="90" spans="1:7" x14ac:dyDescent="0.35">
      <c r="A90">
        <f t="shared" si="5"/>
        <v>12.045567633829934</v>
      </c>
      <c r="B90">
        <f t="shared" si="6"/>
        <v>35.137037440087958</v>
      </c>
      <c r="C90">
        <f t="shared" si="7"/>
        <v>176</v>
      </c>
      <c r="D90" s="1"/>
      <c r="E90">
        <f t="shared" si="8"/>
        <v>0.35806564150900522</v>
      </c>
      <c r="F90">
        <f t="shared" si="9"/>
        <v>-2.6672126221348078</v>
      </c>
      <c r="G90" s="1"/>
    </row>
    <row r="91" spans="1:7" x14ac:dyDescent="0.35">
      <c r="A91">
        <f t="shared" si="5"/>
        <v>12.40363327533894</v>
      </c>
      <c r="B91">
        <f t="shared" si="6"/>
        <v>32.469824817953153</v>
      </c>
      <c r="C91">
        <f t="shared" si="7"/>
        <v>178</v>
      </c>
      <c r="D91" s="1"/>
      <c r="E91">
        <f t="shared" si="8"/>
        <v>0.43487572842111433</v>
      </c>
      <c r="F91">
        <f t="shared" si="9"/>
        <v>-2.441494882682536</v>
      </c>
      <c r="G91" s="1"/>
    </row>
    <row r="92" spans="1:7" x14ac:dyDescent="0.35">
      <c r="A92">
        <f t="shared" si="5"/>
        <v>12.838509003760054</v>
      </c>
      <c r="B92">
        <f t="shared" si="6"/>
        <v>30.028329935270616</v>
      </c>
      <c r="C92">
        <f t="shared" si="7"/>
        <v>180</v>
      </c>
      <c r="D92" s="1"/>
      <c r="E92">
        <f t="shared" si="8"/>
        <v>0.5128129318923067</v>
      </c>
      <c r="F92">
        <f t="shared" si="9"/>
        <v>-2.2317950250433629</v>
      </c>
      <c r="G92" s="1"/>
    </row>
    <row r="93" spans="1:7" x14ac:dyDescent="0.35">
      <c r="A93">
        <f t="shared" si="5"/>
        <v>13.351321935652361</v>
      </c>
      <c r="B93">
        <f t="shared" si="6"/>
        <v>27.796534910227251</v>
      </c>
      <c r="C93">
        <f t="shared" si="7"/>
        <v>182</v>
      </c>
      <c r="D93" s="1"/>
      <c r="E93">
        <f t="shared" si="8"/>
        <v>0.59289122100114877</v>
      </c>
      <c r="F93">
        <f t="shared" si="9"/>
        <v>-2.0374125184586376</v>
      </c>
      <c r="G93" s="1"/>
    </row>
    <row r="94" spans="1:7" x14ac:dyDescent="0.35">
      <c r="A94">
        <f t="shared" si="5"/>
        <v>13.944213156653511</v>
      </c>
      <c r="B94">
        <f t="shared" si="6"/>
        <v>25.759122391768614</v>
      </c>
      <c r="C94">
        <f t="shared" si="7"/>
        <v>184</v>
      </c>
      <c r="D94" s="1"/>
      <c r="E94">
        <f t="shared" si="8"/>
        <v>0.67603992894705511</v>
      </c>
      <c r="F94">
        <f t="shared" si="9"/>
        <v>-1.8575308524585656</v>
      </c>
      <c r="G94" s="1"/>
    </row>
    <row r="95" spans="1:7" x14ac:dyDescent="0.35">
      <c r="A95">
        <f t="shared" si="5"/>
        <v>14.620253085600567</v>
      </c>
      <c r="B95">
        <f t="shared" si="6"/>
        <v>23.901591539310047</v>
      </c>
      <c r="C95">
        <f t="shared" si="7"/>
        <v>186</v>
      </c>
      <c r="D95" s="1"/>
      <c r="E95">
        <f t="shared" si="8"/>
        <v>0.76313067365333254</v>
      </c>
      <c r="F95">
        <f t="shared" si="9"/>
        <v>-1.6912645190242808</v>
      </c>
      <c r="G95" s="1"/>
    </row>
    <row r="96" spans="1:7" x14ac:dyDescent="0.35">
      <c r="A96">
        <f t="shared" si="5"/>
        <v>15.383383759253899</v>
      </c>
      <c r="B96">
        <f t="shared" si="6"/>
        <v>22.210327020285767</v>
      </c>
      <c r="C96">
        <f t="shared" si="7"/>
        <v>188</v>
      </c>
      <c r="D96" s="1"/>
      <c r="E96">
        <f t="shared" si="8"/>
        <v>0.85499840798222559</v>
      </c>
      <c r="F96">
        <f t="shared" si="9"/>
        <v>-1.5376927340854125</v>
      </c>
      <c r="G96" s="1"/>
    </row>
    <row r="97" spans="1:7" x14ac:dyDescent="0.35">
      <c r="A97">
        <f t="shared" si="5"/>
        <v>16.238382167236125</v>
      </c>
      <c r="B97">
        <f t="shared" si="6"/>
        <v>20.672634286200356</v>
      </c>
      <c r="C97">
        <f t="shared" si="7"/>
        <v>190</v>
      </c>
      <c r="D97" s="1"/>
      <c r="E97">
        <f t="shared" si="8"/>
        <v>0.95245794483795254</v>
      </c>
      <c r="F97">
        <f t="shared" si="9"/>
        <v>-1.3958831567343757</v>
      </c>
      <c r="G97" s="1"/>
    </row>
    <row r="98" spans="1:7" x14ac:dyDescent="0.35">
      <c r="A98">
        <f t="shared" si="5"/>
        <v>17.190840112074078</v>
      </c>
      <c r="B98">
        <f t="shared" si="6"/>
        <v>19.276751129465982</v>
      </c>
      <c r="C98">
        <f t="shared" si="7"/>
        <v>192</v>
      </c>
      <c r="D98" s="1"/>
      <c r="E98">
        <f t="shared" si="8"/>
        <v>1.0563169181136218</v>
      </c>
      <c r="F98">
        <f t="shared" si="9"/>
        <v>-1.2649080198528122</v>
      </c>
      <c r="G98" s="1"/>
    </row>
    <row r="99" spans="1:7" x14ac:dyDescent="0.35">
      <c r="A99">
        <f t="shared" si="5"/>
        <v>18.247157030187701</v>
      </c>
      <c r="B99">
        <f t="shared" si="6"/>
        <v>18.011843109613171</v>
      </c>
      <c r="C99">
        <f t="shared" si="7"/>
        <v>194</v>
      </c>
      <c r="D99" s="1"/>
      <c r="E99">
        <f t="shared" si="8"/>
        <v>1.1673858437703384</v>
      </c>
      <c r="F99">
        <f t="shared" si="9"/>
        <v>-1.1438544517128855</v>
      </c>
      <c r="G99" s="1"/>
    </row>
    <row r="100" spans="1:7" x14ac:dyDescent="0.35">
      <c r="A100">
        <f t="shared" si="5"/>
        <v>19.414542873958041</v>
      </c>
      <c r="B100">
        <f t="shared" si="6"/>
        <v>16.867988657900284</v>
      </c>
      <c r="C100">
        <f t="shared" si="7"/>
        <v>196</v>
      </c>
      <c r="D100" s="1"/>
      <c r="E100">
        <f t="shared" si="8"/>
        <v>1.2864857094033182</v>
      </c>
      <c r="F100">
        <f t="shared" si="9"/>
        <v>-1.0318302877975425</v>
      </c>
      <c r="G100" s="1"/>
    </row>
    <row r="101" spans="1:7" x14ac:dyDescent="0.35">
      <c r="A101">
        <f t="shared" si="5"/>
        <v>20.70102858336136</v>
      </c>
      <c r="B101">
        <f t="shared" si="6"/>
        <v>15.836158370102741</v>
      </c>
      <c r="C101">
        <f t="shared" si="7"/>
        <v>198</v>
      </c>
      <c r="D101" s="1"/>
      <c r="E101">
        <f t="shared" si="8"/>
        <v>1.4144533241958681</v>
      </c>
      <c r="F101">
        <f t="shared" si="9"/>
        <v>-0.92796630287000603</v>
      </c>
      <c r="G101" s="1"/>
    </row>
    <row r="102" spans="1:7" x14ac:dyDescent="0.35">
      <c r="A102">
        <f t="shared" si="5"/>
        <v>22.115481907557228</v>
      </c>
      <c r="B102">
        <f t="shared" si="6"/>
        <v>14.908192067232735</v>
      </c>
      <c r="C102">
        <f t="shared" si="7"/>
        <v>200</v>
      </c>
      <c r="D102" s="1"/>
      <c r="E102">
        <f t="shared" si="8"/>
        <v>1.5521444868811753</v>
      </c>
      <c r="F102">
        <f t="shared" si="9"/>
        <v>-0.83141550284872601</v>
      </c>
      <c r="G102" s="1"/>
    </row>
    <row r="103" spans="1:7" x14ac:dyDescent="0.35">
      <c r="A103">
        <f t="shared" si="5"/>
        <v>23.667626394438404</v>
      </c>
      <c r="B103">
        <f t="shared" si="6"/>
        <v>14.076776564384009</v>
      </c>
      <c r="C103">
        <f t="shared" si="7"/>
        <v>202</v>
      </c>
      <c r="D103" s="1"/>
      <c r="E103">
        <f t="shared" si="8"/>
        <v>1.7004348623161867</v>
      </c>
      <c r="F103">
        <f t="shared" si="9"/>
        <v>-0.74134987931074714</v>
      </c>
      <c r="G103" s="1"/>
    </row>
    <row r="104" spans="1:7" x14ac:dyDescent="0.35">
      <c r="A104">
        <f t="shared" si="5"/>
        <v>25.36806125675459</v>
      </c>
      <c r="B104">
        <f t="shared" si="6"/>
        <v>13.335426685073262</v>
      </c>
      <c r="C104">
        <f t="shared" si="7"/>
        <v>204</v>
      </c>
      <c r="D104" s="1"/>
      <c r="E104">
        <f t="shared" si="8"/>
        <v>1.8602182836116627</v>
      </c>
      <c r="F104">
        <f t="shared" si="9"/>
        <v>-0.65695482644352976</v>
      </c>
      <c r="G104" s="1"/>
    </row>
    <row r="105" spans="1:7" x14ac:dyDescent="0.35">
      <c r="A105">
        <f t="shared" si="5"/>
        <v>27.228279540366252</v>
      </c>
      <c r="B105">
        <f t="shared" si="6"/>
        <v>12.678471858629733</v>
      </c>
      <c r="C105">
        <f t="shared" si="7"/>
        <v>206</v>
      </c>
      <c r="D105" s="1"/>
      <c r="E105">
        <f t="shared" si="8"/>
        <v>2.0324020022137508</v>
      </c>
      <c r="F105">
        <f t="shared" si="9"/>
        <v>-0.57742123404009893</v>
      </c>
      <c r="G105" s="1"/>
    </row>
    <row r="106" spans="1:7" x14ac:dyDescent="0.35">
      <c r="A106">
        <f t="shared" si="5"/>
        <v>29.260681542580002</v>
      </c>
      <c r="B106">
        <f t="shared" si="6"/>
        <v>12.101050624589634</v>
      </c>
      <c r="C106">
        <f t="shared" si="7"/>
        <v>208</v>
      </c>
      <c r="D106" s="1"/>
      <c r="E106">
        <f t="shared" si="8"/>
        <v>2.2178981769444883</v>
      </c>
      <c r="F106">
        <f t="shared" si="9"/>
        <v>-0.50193508514545138</v>
      </c>
      <c r="G106" s="1"/>
    </row>
    <row r="107" spans="1:7" x14ac:dyDescent="0.35">
      <c r="A107">
        <f t="shared" si="5"/>
        <v>31.47857971952449</v>
      </c>
      <c r="B107">
        <f t="shared" si="6"/>
        <v>11.599115539444183</v>
      </c>
      <c r="C107">
        <f t="shared" si="7"/>
        <v>210</v>
      </c>
      <c r="D107" s="1"/>
      <c r="E107">
        <f t="shared" si="8"/>
        <v>2.4176106055837114</v>
      </c>
      <c r="F107">
        <f t="shared" si="9"/>
        <v>-0.42966418757568015</v>
      </c>
      <c r="G107" s="1"/>
    </row>
    <row r="108" spans="1:7" x14ac:dyDescent="0.35">
      <c r="A108">
        <f t="shared" si="5"/>
        <v>33.896190325108201</v>
      </c>
      <c r="B108">
        <f t="shared" si="6"/>
        <v>11.169451351868503</v>
      </c>
      <c r="C108">
        <f t="shared" si="7"/>
        <v>212</v>
      </c>
      <c r="D108" s="1"/>
      <c r="E108">
        <f t="shared" si="8"/>
        <v>2.6324153348108768</v>
      </c>
      <c r="F108">
        <f t="shared" si="9"/>
        <v>-0.35974143748690646</v>
      </c>
      <c r="G108" s="1"/>
    </row>
    <row r="109" spans="1:7" x14ac:dyDescent="0.35">
      <c r="A109">
        <f t="shared" si="5"/>
        <v>36.52860565991908</v>
      </c>
      <c r="B109">
        <f t="shared" si="6"/>
        <v>10.809709914381596</v>
      </c>
      <c r="C109">
        <f t="shared" si="7"/>
        <v>214</v>
      </c>
      <c r="D109" s="1"/>
      <c r="E109">
        <f t="shared" si="8"/>
        <v>2.8631333044707818</v>
      </c>
      <c r="F109">
        <f t="shared" si="9"/>
        <v>-0.29124372991703362</v>
      </c>
      <c r="G109" s="1"/>
    </row>
    <row r="110" spans="1:7" x14ac:dyDescent="0.35">
      <c r="A110">
        <f t="shared" si="5"/>
        <v>39.391738964389859</v>
      </c>
      <c r="B110">
        <f t="shared" si="6"/>
        <v>10.518466184464563</v>
      </c>
      <c r="C110">
        <f t="shared" si="7"/>
        <v>216</v>
      </c>
      <c r="D110" s="1"/>
      <c r="E110">
        <f t="shared" si="8"/>
        <v>3.110492547950606</v>
      </c>
      <c r="F110">
        <f t="shared" si="9"/>
        <v>-0.22316526995807673</v>
      </c>
      <c r="G110" s="1"/>
    </row>
    <row r="111" spans="1:7" x14ac:dyDescent="0.35">
      <c r="A111">
        <f t="shared" si="5"/>
        <v>42.502231512340465</v>
      </c>
      <c r="B111">
        <f t="shared" si="6"/>
        <v>10.295300914506486</v>
      </c>
      <c r="C111">
        <f t="shared" si="7"/>
        <v>218</v>
      </c>
      <c r="D111" s="1"/>
      <c r="E111">
        <f t="shared" si="8"/>
        <v>3.3750766253189166</v>
      </c>
      <c r="F111">
        <f t="shared" si="9"/>
        <v>-0.15438356553551824</v>
      </c>
      <c r="G111" s="1"/>
    </row>
    <row r="112" spans="1:7" x14ac:dyDescent="0.35">
      <c r="A112">
        <f t="shared" si="5"/>
        <v>45.877308137659384</v>
      </c>
      <c r="B112">
        <f t="shared" si="6"/>
        <v>10.140917348970968</v>
      </c>
      <c r="C112">
        <f t="shared" si="7"/>
        <v>220</v>
      </c>
      <c r="D112" s="1"/>
      <c r="E112">
        <f t="shared" si="8"/>
        <v>3.6572548337313848</v>
      </c>
      <c r="F112">
        <f t="shared" si="9"/>
        <v>-8.3615754862542802E-2</v>
      </c>
      <c r="G112" s="1"/>
    </row>
    <row r="113" spans="1:7" x14ac:dyDescent="0.35">
      <c r="A113">
        <f t="shared" si="5"/>
        <v>49.53456297139077</v>
      </c>
      <c r="B113">
        <f t="shared" si="6"/>
        <v>10.057301594108425</v>
      </c>
      <c r="C113">
        <f t="shared" si="7"/>
        <v>222</v>
      </c>
      <c r="D113" s="1"/>
      <c r="E113">
        <f t="shared" si="8"/>
        <v>3.9570882188678116</v>
      </c>
      <c r="F113">
        <f t="shared" si="9"/>
        <v>-9.3620811395774828E-3</v>
      </c>
      <c r="G113" s="1"/>
    </row>
    <row r="114" spans="1:7" x14ac:dyDescent="0.35">
      <c r="A114">
        <f t="shared" si="5"/>
        <v>53.49165119025858</v>
      </c>
      <c r="B114">
        <f t="shared" si="6"/>
        <v>10.047939512968847</v>
      </c>
      <c r="C114">
        <f t="shared" si="7"/>
        <v>224</v>
      </c>
      <c r="D114" s="1"/>
      <c r="E114">
        <f t="shared" si="8"/>
        <v>4.2742033678087665</v>
      </c>
      <c r="F114">
        <f t="shared" si="9"/>
        <v>7.0167799920207496E-2</v>
      </c>
      <c r="G114" s="1"/>
    </row>
    <row r="115" spans="1:7" x14ac:dyDescent="0.35">
      <c r="A115">
        <f t="shared" si="5"/>
        <v>57.765854558067346</v>
      </c>
      <c r="B115">
        <f t="shared" si="6"/>
        <v>10.118107312889055</v>
      </c>
      <c r="C115">
        <f t="shared" si="7"/>
        <v>226</v>
      </c>
      <c r="D115" s="1"/>
      <c r="E115">
        <f t="shared" si="8"/>
        <v>4.6076232249282016</v>
      </c>
      <c r="F115">
        <f t="shared" si="9"/>
        <v>0.15715149958962815</v>
      </c>
      <c r="G115" s="1"/>
    </row>
    <row r="116" spans="1:7" x14ac:dyDescent="0.35">
      <c r="A116">
        <f t="shared" si="5"/>
        <v>62.37347778299555</v>
      </c>
      <c r="B116">
        <f t="shared" si="6"/>
        <v>10.275258812478683</v>
      </c>
      <c r="C116">
        <f t="shared" si="7"/>
        <v>228</v>
      </c>
      <c r="D116" s="1"/>
      <c r="E116">
        <f t="shared" si="8"/>
        <v>4.9555405237902184</v>
      </c>
      <c r="F116">
        <f t="shared" si="9"/>
        <v>0.25428137326146838</v>
      </c>
      <c r="G116" s="1"/>
    </row>
    <row r="117" spans="1:7" x14ac:dyDescent="0.35">
      <c r="A117">
        <f t="shared" si="5"/>
        <v>67.32901830678577</v>
      </c>
      <c r="B117">
        <f t="shared" si="6"/>
        <v>10.529540185740151</v>
      </c>
      <c r="C117">
        <f t="shared" si="7"/>
        <v>230</v>
      </c>
      <c r="D117" s="1"/>
      <c r="E117">
        <f t="shared" si="8"/>
        <v>5.3150146228231074</v>
      </c>
      <c r="F117">
        <f t="shared" si="9"/>
        <v>0.36493318928145491</v>
      </c>
      <c r="G117" s="1"/>
    </row>
    <row r="118" spans="1:7" x14ac:dyDescent="0.35">
      <c r="A118">
        <f t="shared" si="5"/>
        <v>72.644032929608883</v>
      </c>
      <c r="B118">
        <f t="shared" si="6"/>
        <v>10.894473375021606</v>
      </c>
      <c r="C118">
        <f t="shared" si="7"/>
        <v>232</v>
      </c>
      <c r="D118" s="1"/>
      <c r="E118">
        <f t="shared" si="8"/>
        <v>5.6815663277492554</v>
      </c>
      <c r="F118">
        <f t="shared" si="9"/>
        <v>0.4933896277094727</v>
      </c>
      <c r="G118" s="1"/>
    </row>
    <row r="119" spans="1:7" x14ac:dyDescent="0.35">
      <c r="A119">
        <f t="shared" si="5"/>
        <v>78.325599257358135</v>
      </c>
      <c r="B119">
        <f t="shared" si="6"/>
        <v>11.387863002731079</v>
      </c>
      <c r="C119">
        <f t="shared" si="7"/>
        <v>234</v>
      </c>
      <c r="D119" s="1"/>
      <c r="E119">
        <f t="shared" si="8"/>
        <v>6.0486375378365951</v>
      </c>
      <c r="F119">
        <f t="shared" si="9"/>
        <v>0.64513608762611119</v>
      </c>
      <c r="G119" s="1"/>
    </row>
    <row r="120" spans="1:7" x14ac:dyDescent="0.35">
      <c r="A120">
        <f t="shared" si="5"/>
        <v>84.374236795194733</v>
      </c>
      <c r="B120">
        <f t="shared" si="6"/>
        <v>12.03299909035719</v>
      </c>
      <c r="C120">
        <f t="shared" si="7"/>
        <v>236</v>
      </c>
      <c r="D120" s="1"/>
      <c r="E120">
        <f t="shared" si="8"/>
        <v>6.4068734503071534</v>
      </c>
      <c r="F120">
        <f t="shared" si="9"/>
        <v>0.82725032017660194</v>
      </c>
      <c r="G120" s="1"/>
    </row>
    <row r="121" spans="1:7" x14ac:dyDescent="0.35">
      <c r="A121">
        <f t="shared" si="5"/>
        <v>90.781110245501893</v>
      </c>
      <c r="B121">
        <f t="shared" si="6"/>
        <v>12.860249410533793</v>
      </c>
      <c r="C121">
        <f t="shared" si="7"/>
        <v>238</v>
      </c>
      <c r="D121" s="1"/>
      <c r="E121">
        <f t="shared" si="8"/>
        <v>6.7431755855055506</v>
      </c>
      <c r="F121">
        <f t="shared" si="9"/>
        <v>1.0489104979912587</v>
      </c>
      <c r="G121" s="1"/>
    </row>
    <row r="122" spans="1:7" x14ac:dyDescent="0.35">
      <c r="A122">
        <f t="shared" si="5"/>
        <v>97.524285831007447</v>
      </c>
      <c r="B122">
        <f t="shared" si="6"/>
        <v>13.909159908525051</v>
      </c>
      <c r="C122">
        <f t="shared" si="7"/>
        <v>240</v>
      </c>
      <c r="D122" s="1"/>
      <c r="E122">
        <f t="shared" si="8"/>
        <v>7.039466809924372</v>
      </c>
      <c r="F122">
        <f t="shared" si="9"/>
        <v>1.3220457823238678</v>
      </c>
      <c r="G122" s="1"/>
    </row>
    <row r="123" spans="1:7" x14ac:dyDescent="0.35">
      <c r="A123">
        <f t="shared" si="5"/>
        <v>104.56375264093182</v>
      </c>
      <c r="B123">
        <f t="shared" si="6"/>
        <v>15.231205690848919</v>
      </c>
      <c r="C123">
        <f t="shared" si="7"/>
        <v>242</v>
      </c>
      <c r="D123" s="1"/>
      <c r="E123">
        <f t="shared" si="8"/>
        <v>7.2711112155310236</v>
      </c>
      <c r="F123">
        <f t="shared" si="9"/>
        <v>1.6621434794772669</v>
      </c>
      <c r="G123" s="1"/>
    </row>
    <row r="124" spans="1:7" x14ac:dyDescent="0.35">
      <c r="A124">
        <f t="shared" si="5"/>
        <v>111.83486385646285</v>
      </c>
      <c r="B124">
        <f t="shared" si="6"/>
        <v>16.893349170326186</v>
      </c>
      <c r="C124">
        <f t="shared" si="7"/>
        <v>244</v>
      </c>
      <c r="D124" s="1"/>
      <c r="E124">
        <f t="shared" si="8"/>
        <v>7.404955576560047</v>
      </c>
      <c r="F124">
        <f t="shared" si="9"/>
        <v>2.0891958920536187</v>
      </c>
      <c r="G124" s="1"/>
    </row>
    <row r="125" spans="1:7" x14ac:dyDescent="0.35">
      <c r="A125">
        <f t="shared" si="5"/>
        <v>119.23981943302289</v>
      </c>
      <c r="B125">
        <f t="shared" si="6"/>
        <v>18.982545062379806</v>
      </c>
      <c r="C125">
        <f t="shared" si="7"/>
        <v>246</v>
      </c>
      <c r="D125" s="1"/>
      <c r="E125">
        <f t="shared" si="8"/>
        <v>7.3970314520675124</v>
      </c>
      <c r="F125">
        <f t="shared" si="9"/>
        <v>2.6286959849967957</v>
      </c>
      <c r="G125" s="1"/>
    </row>
    <row r="126" spans="1:7" x14ac:dyDescent="0.35">
      <c r="A126">
        <f t="shared" si="5"/>
        <v>126.6368508850904</v>
      </c>
      <c r="B126">
        <f t="shared" si="6"/>
        <v>21.611241047376602</v>
      </c>
      <c r="C126">
        <f t="shared" si="7"/>
        <v>248</v>
      </c>
      <c r="D126" s="1"/>
      <c r="E126">
        <f t="shared" si="8"/>
        <v>7.1901260685922894</v>
      </c>
      <c r="F126">
        <f t="shared" si="9"/>
        <v>3.3124349151790913</v>
      </c>
      <c r="G126" s="1"/>
    </row>
    <row r="127" spans="1:7" x14ac:dyDescent="0.35">
      <c r="A127">
        <f t="shared" si="5"/>
        <v>133.82697695368267</v>
      </c>
      <c r="B127">
        <f t="shared" si="6"/>
        <v>24.923675962555691</v>
      </c>
      <c r="C127">
        <f t="shared" si="7"/>
        <v>250</v>
      </c>
      <c r="D127" s="1"/>
      <c r="E127">
        <f t="shared" si="8"/>
        <v>6.711777278084277</v>
      </c>
      <c r="F127">
        <f t="shared" si="9"/>
        <v>4.1785528210284211</v>
      </c>
      <c r="G127" s="1"/>
    </row>
    <row r="128" spans="1:7" x14ac:dyDescent="0.35">
      <c r="A128">
        <f t="shared" si="5"/>
        <v>140.53875423176694</v>
      </c>
      <c r="B128">
        <f t="shared" si="6"/>
        <v>29.102228783584113</v>
      </c>
      <c r="C128">
        <f t="shared" si="7"/>
        <v>252</v>
      </c>
      <c r="D128" s="1"/>
      <c r="E128">
        <f t="shared" si="8"/>
        <v>5.8738934659511308</v>
      </c>
      <c r="F128">
        <f t="shared" si="9"/>
        <v>5.2697590788671533</v>
      </c>
      <c r="G128" s="1"/>
    </row>
    <row r="129" spans="1:7" x14ac:dyDescent="0.35">
      <c r="A129">
        <f t="shared" si="5"/>
        <v>146.41264769771809</v>
      </c>
      <c r="B129">
        <f t="shared" si="6"/>
        <v>34.371987862451263</v>
      </c>
      <c r="C129">
        <f t="shared" si="7"/>
        <v>254</v>
      </c>
      <c r="D129" s="1"/>
      <c r="E129">
        <f t="shared" si="8"/>
        <v>4.576277270621171</v>
      </c>
      <c r="F129">
        <f t="shared" si="9"/>
        <v>6.6277887129055113</v>
      </c>
      <c r="G129" s="1"/>
    </row>
    <row r="130" spans="1:7" x14ac:dyDescent="0.35">
      <c r="A130">
        <f t="shared" si="5"/>
        <v>150.98892496833926</v>
      </c>
      <c r="B130">
        <f t="shared" si="6"/>
        <v>40.999776575356776</v>
      </c>
      <c r="C130">
        <f t="shared" si="7"/>
        <v>256</v>
      </c>
      <c r="D130" s="1"/>
      <c r="E130">
        <f t="shared" si="8"/>
        <v>2.7178681187234908</v>
      </c>
      <c r="F130">
        <f t="shared" si="9"/>
        <v>8.2810467205747607</v>
      </c>
      <c r="G130" s="1"/>
    </row>
    <row r="131" spans="1:7" x14ac:dyDescent="0.35">
      <c r="A131">
        <f t="shared" si="5"/>
        <v>153.70679308706275</v>
      </c>
      <c r="B131">
        <f t="shared" si="6"/>
        <v>49.28082329593154</v>
      </c>
      <c r="C131">
        <f t="shared" si="7"/>
        <v>258</v>
      </c>
      <c r="D131" s="1"/>
      <c r="E131">
        <f t="shared" si="8"/>
        <v>0.22108468969057249</v>
      </c>
      <c r="F131">
        <f t="shared" si="9"/>
        <v>10.221512289422549</v>
      </c>
      <c r="G131" s="1"/>
    </row>
    <row r="132" spans="1:7" x14ac:dyDescent="0.35">
      <c r="A132">
        <f t="shared" ref="A132:A195" si="10">A131 +E131</f>
        <v>153.92787777675332</v>
      </c>
      <c r="B132">
        <f t="shared" ref="B132:B195" si="11">B131 + F131</f>
        <v>59.502335585354089</v>
      </c>
      <c r="C132">
        <f t="shared" ref="C132:C195" si="12">C131 +$O$2</f>
        <v>260</v>
      </c>
      <c r="D132" s="1"/>
      <c r="E132">
        <f t="shared" ref="E132:E195" si="13">(($K$2 * A132)*$O$2)-((($M$2 * A132) * B132)*$O$2)</f>
        <v>-2.9253487011521546</v>
      </c>
      <c r="F132">
        <f t="shared" ref="F132:F195" si="14">-(($N$2 * B132)*$O$2) + ((($L$2 *B132) * A132)*$O$2)</f>
        <v>12.367902920292078</v>
      </c>
      <c r="G132" s="1"/>
    </row>
    <row r="133" spans="1:7" x14ac:dyDescent="0.35">
      <c r="A133">
        <f t="shared" si="10"/>
        <v>151.00252907560116</v>
      </c>
      <c r="B133">
        <f t="shared" si="11"/>
        <v>71.870238505646171</v>
      </c>
      <c r="C133">
        <f t="shared" si="12"/>
        <v>262</v>
      </c>
      <c r="D133" s="1"/>
      <c r="E133">
        <f t="shared" si="13"/>
        <v>-6.6049226516783346</v>
      </c>
      <c r="F133">
        <f t="shared" si="14"/>
        <v>14.518151708673834</v>
      </c>
      <c r="G133" s="1"/>
    </row>
    <row r="134" spans="1:7" x14ac:dyDescent="0.35">
      <c r="A134">
        <f t="shared" si="10"/>
        <v>144.39760642392284</v>
      </c>
      <c r="B134">
        <f t="shared" si="11"/>
        <v>86.388390214319998</v>
      </c>
      <c r="C134">
        <f t="shared" si="12"/>
        <v>264</v>
      </c>
      <c r="D134" s="1"/>
      <c r="E134">
        <f t="shared" si="13"/>
        <v>-10.508792897135011</v>
      </c>
      <c r="F134">
        <f t="shared" si="14"/>
        <v>16.309714518095291</v>
      </c>
      <c r="G134" s="1"/>
    </row>
    <row r="135" spans="1:7" x14ac:dyDescent="0.35">
      <c r="A135">
        <f t="shared" si="10"/>
        <v>133.88881352678783</v>
      </c>
      <c r="B135">
        <f t="shared" si="11"/>
        <v>102.69810473241529</v>
      </c>
      <c r="C135">
        <f t="shared" si="12"/>
        <v>266</v>
      </c>
      <c r="D135" s="1"/>
      <c r="E135">
        <f t="shared" si="13"/>
        <v>-14.11137343546697</v>
      </c>
      <c r="F135">
        <f t="shared" si="14"/>
        <v>17.230444314904226</v>
      </c>
      <c r="G135" s="1"/>
    </row>
    <row r="136" spans="1:7" x14ac:dyDescent="0.35">
      <c r="A136">
        <f t="shared" si="10"/>
        <v>119.77744009132086</v>
      </c>
      <c r="B136">
        <f t="shared" si="11"/>
        <v>119.92854904731951</v>
      </c>
      <c r="C136">
        <f t="shared" si="12"/>
        <v>268</v>
      </c>
      <c r="D136" s="1"/>
      <c r="E136">
        <f t="shared" si="13"/>
        <v>-16.751725188376604</v>
      </c>
      <c r="F136">
        <f t="shared" si="14"/>
        <v>16.736614292776743</v>
      </c>
      <c r="G136" s="1"/>
    </row>
    <row r="137" spans="1:7" x14ac:dyDescent="0.35">
      <c r="A137">
        <f t="shared" si="10"/>
        <v>103.02571490294426</v>
      </c>
      <c r="B137">
        <f t="shared" si="11"/>
        <v>136.66516334009626</v>
      </c>
      <c r="C137">
        <f t="shared" si="12"/>
        <v>270</v>
      </c>
      <c r="D137" s="1"/>
      <c r="E137">
        <f t="shared" si="13"/>
        <v>-17.857480820587707</v>
      </c>
      <c r="F137">
        <f t="shared" si="14"/>
        <v>14.493535976872506</v>
      </c>
      <c r="G137" s="1"/>
    </row>
    <row r="138" spans="1:7" x14ac:dyDescent="0.35">
      <c r="A138">
        <f t="shared" si="10"/>
        <v>85.168234082356548</v>
      </c>
      <c r="B138">
        <f t="shared" si="11"/>
        <v>151.15869931696875</v>
      </c>
      <c r="C138">
        <f t="shared" si="12"/>
        <v>272</v>
      </c>
      <c r="D138" s="1"/>
      <c r="E138">
        <f t="shared" si="13"/>
        <v>-17.231015565788631</v>
      </c>
      <c r="F138">
        <f t="shared" si="14"/>
        <v>10.631969042327414</v>
      </c>
      <c r="G138" s="1"/>
    </row>
    <row r="139" spans="1:7" x14ac:dyDescent="0.35">
      <c r="A139">
        <f t="shared" si="10"/>
        <v>67.937218516567924</v>
      </c>
      <c r="B139">
        <f t="shared" si="11"/>
        <v>161.79066835929618</v>
      </c>
      <c r="C139">
        <f t="shared" si="12"/>
        <v>274</v>
      </c>
      <c r="D139" s="1"/>
      <c r="E139">
        <f t="shared" si="13"/>
        <v>-15.189494128877358</v>
      </c>
      <c r="F139">
        <f t="shared" si="14"/>
        <v>5.8041491446045335</v>
      </c>
      <c r="G139" s="1"/>
    </row>
    <row r="140" spans="1:7" x14ac:dyDescent="0.35">
      <c r="A140">
        <f t="shared" si="10"/>
        <v>52.747724387690567</v>
      </c>
      <c r="B140">
        <f t="shared" si="11"/>
        <v>167.59481750390071</v>
      </c>
      <c r="C140">
        <f t="shared" si="12"/>
        <v>276</v>
      </c>
      <c r="D140" s="1"/>
      <c r="E140">
        <f t="shared" si="13"/>
        <v>-12.40571804623305</v>
      </c>
      <c r="F140">
        <f t="shared" si="14"/>
        <v>0.92100873461203392</v>
      </c>
      <c r="G140" s="1"/>
    </row>
    <row r="141" spans="1:7" x14ac:dyDescent="0.35">
      <c r="A141">
        <f t="shared" si="10"/>
        <v>40.34200634145752</v>
      </c>
      <c r="B141">
        <f t="shared" si="11"/>
        <v>168.51582623851274</v>
      </c>
      <c r="C141">
        <f t="shared" si="12"/>
        <v>278</v>
      </c>
      <c r="D141" s="1"/>
      <c r="E141">
        <f t="shared" si="13"/>
        <v>-9.5623324273543169</v>
      </c>
      <c r="F141">
        <f t="shared" si="14"/>
        <v>-3.2550495623512052</v>
      </c>
      <c r="G141" s="1"/>
    </row>
    <row r="142" spans="1:7" x14ac:dyDescent="0.35">
      <c r="A142">
        <f t="shared" si="10"/>
        <v>30.779673914103203</v>
      </c>
      <c r="B142">
        <f t="shared" si="11"/>
        <v>165.26077667616153</v>
      </c>
      <c r="C142">
        <f t="shared" si="12"/>
        <v>280</v>
      </c>
      <c r="D142" s="1"/>
      <c r="E142">
        <f t="shared" si="13"/>
        <v>-7.0953782423570484</v>
      </c>
      <c r="F142">
        <f t="shared" si="14"/>
        <v>-6.3527320338487847</v>
      </c>
      <c r="G142" s="1"/>
    </row>
    <row r="143" spans="1:7" x14ac:dyDescent="0.35">
      <c r="A143">
        <f t="shared" si="10"/>
        <v>23.684295671746156</v>
      </c>
      <c r="B143">
        <f t="shared" si="11"/>
        <v>158.90804464231275</v>
      </c>
      <c r="C143">
        <f t="shared" si="12"/>
        <v>282</v>
      </c>
      <c r="D143" s="1"/>
      <c r="E143">
        <f t="shared" si="13"/>
        <v>-5.1588206606805302</v>
      </c>
      <c r="F143">
        <f t="shared" si="14"/>
        <v>-8.3635542363761282</v>
      </c>
      <c r="G143" s="1"/>
    </row>
    <row r="144" spans="1:7" x14ac:dyDescent="0.35">
      <c r="A144">
        <f t="shared" si="10"/>
        <v>18.525475011065627</v>
      </c>
      <c r="B144">
        <f t="shared" si="11"/>
        <v>150.54449040593661</v>
      </c>
      <c r="C144">
        <f t="shared" si="12"/>
        <v>284</v>
      </c>
      <c r="D144" s="1"/>
      <c r="E144">
        <f t="shared" si="13"/>
        <v>-3.7252688890310131</v>
      </c>
      <c r="F144">
        <f t="shared" si="14"/>
        <v>-9.4766326504560858</v>
      </c>
      <c r="G144" s="1"/>
    </row>
    <row r="145" spans="1:7" x14ac:dyDescent="0.35">
      <c r="A145">
        <f t="shared" si="10"/>
        <v>14.800206122034613</v>
      </c>
      <c r="B145">
        <f t="shared" si="11"/>
        <v>141.06785775548053</v>
      </c>
      <c r="C145">
        <f t="shared" si="12"/>
        <v>286</v>
      </c>
      <c r="D145" s="1"/>
      <c r="E145">
        <f t="shared" si="13"/>
        <v>-2.6956461317464808</v>
      </c>
      <c r="F145">
        <f t="shared" si="14"/>
        <v>-9.9311190315981115</v>
      </c>
      <c r="G145" s="1"/>
    </row>
    <row r="146" spans="1:7" x14ac:dyDescent="0.35">
      <c r="A146">
        <f t="shared" si="10"/>
        <v>12.104559990288132</v>
      </c>
      <c r="B146">
        <f t="shared" si="11"/>
        <v>131.13673872388242</v>
      </c>
      <c r="C146">
        <f t="shared" si="12"/>
        <v>288</v>
      </c>
      <c r="D146" s="1"/>
      <c r="E146">
        <f t="shared" si="13"/>
        <v>-1.9642490425991375</v>
      </c>
      <c r="F146">
        <f t="shared" si="14"/>
        <v>-9.9389688307602917</v>
      </c>
      <c r="G146" s="1"/>
    </row>
    <row r="147" spans="1:7" x14ac:dyDescent="0.35">
      <c r="A147">
        <f t="shared" si="10"/>
        <v>10.140310947688995</v>
      </c>
      <c r="B147">
        <f t="shared" si="11"/>
        <v>121.19776989312213</v>
      </c>
      <c r="C147">
        <f t="shared" si="12"/>
        <v>290</v>
      </c>
      <c r="D147" s="1"/>
      <c r="E147">
        <f t="shared" si="13"/>
        <v>-1.4439350509965365</v>
      </c>
      <c r="F147">
        <f t="shared" si="14"/>
        <v>-9.6618108435467782</v>
      </c>
      <c r="G147" s="1"/>
    </row>
    <row r="148" spans="1:7" x14ac:dyDescent="0.35">
      <c r="A148">
        <f t="shared" si="10"/>
        <v>8.6963758966924587</v>
      </c>
      <c r="B148">
        <f t="shared" si="11"/>
        <v>111.53595904957535</v>
      </c>
      <c r="C148">
        <f t="shared" si="12"/>
        <v>292</v>
      </c>
      <c r="D148" s="1"/>
      <c r="E148">
        <f t="shared" si="13"/>
        <v>-1.0702796621171626</v>
      </c>
      <c r="F148">
        <f t="shared" si="14"/>
        <v>-9.2136786531711277</v>
      </c>
      <c r="G148" s="1"/>
    </row>
    <row r="149" spans="1:7" x14ac:dyDescent="0.35">
      <c r="A149">
        <f t="shared" si="10"/>
        <v>7.6260962345752965</v>
      </c>
      <c r="B149">
        <f t="shared" si="11"/>
        <v>102.32228039640422</v>
      </c>
      <c r="C149">
        <f t="shared" si="12"/>
        <v>294</v>
      </c>
      <c r="D149" s="1"/>
      <c r="E149">
        <f t="shared" si="13"/>
        <v>-0.7980294910308221</v>
      </c>
      <c r="F149">
        <f t="shared" si="14"/>
        <v>-8.6715889251520721</v>
      </c>
      <c r="G149" s="1"/>
    </row>
    <row r="150" spans="1:7" x14ac:dyDescent="0.35">
      <c r="A150">
        <f t="shared" si="10"/>
        <v>6.8280667435444746</v>
      </c>
      <c r="B150">
        <f t="shared" si="11"/>
        <v>93.650691471252145</v>
      </c>
      <c r="C150">
        <f t="shared" si="12"/>
        <v>296</v>
      </c>
      <c r="D150" s="1"/>
      <c r="E150">
        <f t="shared" si="13"/>
        <v>-0.59609966953515447</v>
      </c>
      <c r="F150">
        <f t="shared" si="14"/>
        <v>-8.086162803235613</v>
      </c>
      <c r="G150" s="1"/>
    </row>
    <row r="151" spans="1:7" x14ac:dyDescent="0.35">
      <c r="A151">
        <f t="shared" si="10"/>
        <v>6.2319670740093205</v>
      </c>
      <c r="B151">
        <f t="shared" si="11"/>
        <v>85.564528668016536</v>
      </c>
      <c r="C151">
        <f t="shared" si="12"/>
        <v>298</v>
      </c>
      <c r="D151" s="1"/>
      <c r="E151">
        <f t="shared" si="13"/>
        <v>-0.44327394332347914</v>
      </c>
      <c r="F151">
        <f t="shared" si="14"/>
        <v>-7.4899822160772436</v>
      </c>
      <c r="G151" s="1"/>
    </row>
    <row r="152" spans="1:7" x14ac:dyDescent="0.35">
      <c r="A152">
        <f t="shared" si="10"/>
        <v>5.7886931306858411</v>
      </c>
      <c r="B152">
        <f t="shared" si="11"/>
        <v>78.074546451939298</v>
      </c>
      <c r="C152">
        <f t="shared" si="12"/>
        <v>300</v>
      </c>
      <c r="D152" s="1"/>
      <c r="E152">
        <f t="shared" si="13"/>
        <v>-0.32502986838692316</v>
      </c>
      <c r="F152">
        <f t="shared" si="14"/>
        <v>-6.9035554637384227</v>
      </c>
      <c r="G152" s="1"/>
    </row>
    <row r="153" spans="1:7" x14ac:dyDescent="0.35">
      <c r="A153">
        <f t="shared" si="10"/>
        <v>5.4636632622989181</v>
      </c>
      <c r="B153">
        <f t="shared" si="11"/>
        <v>71.17099098820087</v>
      </c>
      <c r="C153">
        <f t="shared" si="12"/>
        <v>302</v>
      </c>
      <c r="D153" s="1"/>
      <c r="E153">
        <f t="shared" si="13"/>
        <v>-0.23134233137738924</v>
      </c>
      <c r="F153">
        <f t="shared" si="14"/>
        <v>-6.3393904412128066</v>
      </c>
      <c r="G153" s="1"/>
    </row>
    <row r="154" spans="1:7" x14ac:dyDescent="0.35">
      <c r="A154">
        <f t="shared" si="10"/>
        <v>5.2323209309215288</v>
      </c>
      <c r="B154">
        <f t="shared" si="11"/>
        <v>64.831600546988057</v>
      </c>
      <c r="C154">
        <f t="shared" si="12"/>
        <v>304</v>
      </c>
      <c r="D154" s="1"/>
      <c r="E154">
        <f t="shared" si="13"/>
        <v>-0.1552073879621455</v>
      </c>
      <c r="F154">
        <f t="shared" si="14"/>
        <v>-5.8047205736445076</v>
      </c>
      <c r="G154" s="1"/>
    </row>
    <row r="155" spans="1:7" x14ac:dyDescent="0.35">
      <c r="A155">
        <f t="shared" si="10"/>
        <v>5.077113542959383</v>
      </c>
      <c r="B155">
        <f t="shared" si="11"/>
        <v>59.026879973343547</v>
      </c>
      <c r="C155">
        <f t="shared" si="12"/>
        <v>306</v>
      </c>
      <c r="D155" s="1"/>
      <c r="E155">
        <f t="shared" si="13"/>
        <v>-9.1660989126662762E-2</v>
      </c>
      <c r="F155">
        <f t="shared" si="14"/>
        <v>-5.3033156539117536</v>
      </c>
      <c r="G155" s="1"/>
    </row>
    <row r="156" spans="1:7" x14ac:dyDescent="0.35">
      <c r="A156">
        <f t="shared" si="10"/>
        <v>4.9854525538327206</v>
      </c>
      <c r="B156">
        <f t="shared" si="11"/>
        <v>53.723564319431794</v>
      </c>
      <c r="C156">
        <f t="shared" si="12"/>
        <v>308</v>
      </c>
      <c r="D156" s="1"/>
      <c r="E156">
        <f t="shared" si="13"/>
        <v>-3.7127306491343215E-2</v>
      </c>
      <c r="F156">
        <f t="shared" si="14"/>
        <v>-4.8366838700685646</v>
      </c>
      <c r="G156" s="1"/>
    </row>
    <row r="157" spans="1:7" x14ac:dyDescent="0.35">
      <c r="A157">
        <f t="shared" si="10"/>
        <v>4.9483252473413772</v>
      </c>
      <c r="B157">
        <f t="shared" si="11"/>
        <v>48.886880449363233</v>
      </c>
      <c r="C157">
        <f t="shared" si="12"/>
        <v>310</v>
      </c>
      <c r="D157" s="1"/>
      <c r="E157">
        <f t="shared" si="13"/>
        <v>1.1016155151450435E-2</v>
      </c>
      <c r="F157">
        <f t="shared" si="14"/>
        <v>-4.4048716753536361</v>
      </c>
      <c r="G157" s="1"/>
    </row>
    <row r="158" spans="1:7" x14ac:dyDescent="0.35">
      <c r="A158">
        <f t="shared" si="10"/>
        <v>4.9593414024928277</v>
      </c>
      <c r="B158">
        <f t="shared" si="11"/>
        <v>44.4820087740096</v>
      </c>
      <c r="C158">
        <f t="shared" si="12"/>
        <v>312</v>
      </c>
      <c r="D158" s="1"/>
      <c r="E158">
        <f t="shared" si="13"/>
        <v>5.4731204691292668E-2</v>
      </c>
      <c r="F158">
        <f t="shared" si="14"/>
        <v>-4.00699794184297</v>
      </c>
      <c r="G158" s="1"/>
    </row>
    <row r="159" spans="1:7" x14ac:dyDescent="0.35">
      <c r="A159">
        <f t="shared" si="10"/>
        <v>5.0140726071841204</v>
      </c>
      <c r="B159">
        <f t="shared" si="11"/>
        <v>40.475010832166632</v>
      </c>
      <c r="C159">
        <f t="shared" si="12"/>
        <v>314</v>
      </c>
      <c r="D159" s="1"/>
      <c r="E159">
        <f t="shared" si="13"/>
        <v>9.5517974540317518E-2</v>
      </c>
      <c r="F159">
        <f t="shared" si="14"/>
        <v>-3.6416117970385686</v>
      </c>
      <c r="G159" s="1"/>
    </row>
    <row r="160" spans="1:7" x14ac:dyDescent="0.35">
      <c r="A160">
        <f t="shared" si="10"/>
        <v>5.1095905817244383</v>
      </c>
      <c r="B160">
        <f t="shared" si="11"/>
        <v>36.83339903512806</v>
      </c>
      <c r="C160">
        <f t="shared" si="12"/>
        <v>316</v>
      </c>
      <c r="D160" s="1"/>
      <c r="E160">
        <f t="shared" si="13"/>
        <v>0.13455188056686712</v>
      </c>
      <c r="F160">
        <f t="shared" si="14"/>
        <v>-3.3069327259072292</v>
      </c>
      <c r="G160" s="1"/>
    </row>
    <row r="161" spans="1:7" x14ac:dyDescent="0.35">
      <c r="A161">
        <f t="shared" si="10"/>
        <v>5.2441424622913058</v>
      </c>
      <c r="B161">
        <f t="shared" si="11"/>
        <v>33.526466309220829</v>
      </c>
      <c r="C161">
        <f t="shared" si="12"/>
        <v>318</v>
      </c>
      <c r="D161" s="1"/>
      <c r="E161">
        <f t="shared" si="13"/>
        <v>0.17277911506360288</v>
      </c>
      <c r="F161">
        <f t="shared" si="14"/>
        <v>-3.0010114997565553</v>
      </c>
      <c r="G161" s="1"/>
    </row>
    <row r="162" spans="1:7" x14ac:dyDescent="0.35">
      <c r="A162">
        <f t="shared" si="10"/>
        <v>5.4169215773549091</v>
      </c>
      <c r="B162">
        <f t="shared" si="11"/>
        <v>30.525454809464275</v>
      </c>
      <c r="C162">
        <f t="shared" si="12"/>
        <v>320</v>
      </c>
      <c r="D162" s="1"/>
      <c r="E162">
        <f t="shared" si="13"/>
        <v>0.21098416810357251</v>
      </c>
      <c r="F162">
        <f t="shared" si="14"/>
        <v>-2.7218374913145094</v>
      </c>
      <c r="G162" s="1"/>
    </row>
    <row r="163" spans="1:7" x14ac:dyDescent="0.35">
      <c r="A163">
        <f t="shared" si="10"/>
        <v>5.6279057454584818</v>
      </c>
      <c r="B163">
        <f t="shared" si="11"/>
        <v>27.803617318149765</v>
      </c>
      <c r="C163">
        <f t="shared" si="12"/>
        <v>322</v>
      </c>
      <c r="D163" s="1"/>
      <c r="E163">
        <f t="shared" si="13"/>
        <v>0.24983829924716022</v>
      </c>
      <c r="F163">
        <f t="shared" si="14"/>
        <v>-2.4674094565162887</v>
      </c>
      <c r="G163" s="1"/>
    </row>
    <row r="164" spans="1:7" x14ac:dyDescent="0.35">
      <c r="A164">
        <f t="shared" si="10"/>
        <v>5.8777440447056417</v>
      </c>
      <c r="B164">
        <f t="shared" si="11"/>
        <v>25.336207861633476</v>
      </c>
      <c r="C164">
        <f t="shared" si="12"/>
        <v>324</v>
      </c>
      <c r="D164" s="1"/>
      <c r="E164">
        <f t="shared" si="13"/>
        <v>0.28993491472228333</v>
      </c>
      <c r="F164">
        <f t="shared" si="14"/>
        <v>-2.235781296415067</v>
      </c>
      <c r="G164" s="1"/>
    </row>
    <row r="165" spans="1:7" x14ac:dyDescent="0.35">
      <c r="A165">
        <f t="shared" si="10"/>
        <v>6.1676789594279251</v>
      </c>
      <c r="B165">
        <f t="shared" si="11"/>
        <v>23.10042656521841</v>
      </c>
      <c r="C165">
        <f t="shared" si="12"/>
        <v>326</v>
      </c>
      <c r="D165" s="1"/>
      <c r="E165">
        <f t="shared" si="13"/>
        <v>0.33181586618257763</v>
      </c>
      <c r="F165">
        <f t="shared" si="14"/>
        <v>-2.0250906267616262</v>
      </c>
      <c r="G165" s="1"/>
    </row>
    <row r="166" spans="1:7" x14ac:dyDescent="0.35">
      <c r="A166">
        <f t="shared" si="10"/>
        <v>6.499494825610503</v>
      </c>
      <c r="B166">
        <f t="shared" si="11"/>
        <v>21.075335938456782</v>
      </c>
      <c r="C166">
        <f t="shared" si="12"/>
        <v>328</v>
      </c>
      <c r="D166" s="1"/>
      <c r="E166">
        <f t="shared" si="13"/>
        <v>0.37599140880104448</v>
      </c>
      <c r="F166">
        <f t="shared" si="14"/>
        <v>-1.8335755200856723</v>
      </c>
      <c r="G166" s="1"/>
    </row>
    <row r="167" spans="1:7" x14ac:dyDescent="0.35">
      <c r="A167">
        <f t="shared" si="10"/>
        <v>6.8754862344115475</v>
      </c>
      <c r="B167">
        <f t="shared" si="11"/>
        <v>19.241760418371108</v>
      </c>
      <c r="C167">
        <f t="shared" si="12"/>
        <v>330</v>
      </c>
      <c r="D167" s="1"/>
      <c r="E167">
        <f t="shared" si="13"/>
        <v>0.42295570567644369</v>
      </c>
      <c r="F167">
        <f t="shared" si="14"/>
        <v>-1.6595831240723997</v>
      </c>
      <c r="G167" s="1"/>
    </row>
    <row r="168" spans="1:7" x14ac:dyDescent="0.35">
      <c r="A168">
        <f t="shared" si="10"/>
        <v>7.298441940087991</v>
      </c>
      <c r="B168">
        <f t="shared" si="11"/>
        <v>17.58217729429871</v>
      </c>
      <c r="C168">
        <f t="shared" si="12"/>
        <v>332</v>
      </c>
      <c r="D168" s="1"/>
      <c r="E168">
        <f t="shared" si="13"/>
        <v>0.47319919368325419</v>
      </c>
      <c r="F168">
        <f t="shared" si="14"/>
        <v>-1.5015727291043262</v>
      </c>
      <c r="G168" s="1"/>
    </row>
    <row r="169" spans="1:7" x14ac:dyDescent="0.35">
      <c r="A169">
        <f t="shared" si="10"/>
        <v>7.7716411337712454</v>
      </c>
      <c r="B169">
        <f t="shared" si="11"/>
        <v>16.080604565194385</v>
      </c>
      <c r="C169">
        <f t="shared" si="12"/>
        <v>334</v>
      </c>
      <c r="D169" s="1"/>
      <c r="E169">
        <f t="shared" si="13"/>
        <v>0.52721873758757587</v>
      </c>
      <c r="F169">
        <f t="shared" si="14"/>
        <v>-1.3581150807298898</v>
      </c>
      <c r="G169" s="1"/>
    </row>
    <row r="170" spans="1:7" x14ac:dyDescent="0.35">
      <c r="A170">
        <f t="shared" si="10"/>
        <v>8.2988598713588217</v>
      </c>
      <c r="B170">
        <f t="shared" si="11"/>
        <v>14.722489484464495</v>
      </c>
      <c r="C170">
        <f t="shared" si="12"/>
        <v>336</v>
      </c>
      <c r="D170" s="1"/>
      <c r="E170">
        <f t="shared" si="13"/>
        <v>0.58552623275763294</v>
      </c>
      <c r="F170">
        <f t="shared" si="14"/>
        <v>-1.2278891940682004</v>
      </c>
      <c r="G170" s="1"/>
    </row>
    <row r="171" spans="1:7" x14ac:dyDescent="0.35">
      <c r="A171">
        <f t="shared" si="10"/>
        <v>8.8843861041164551</v>
      </c>
      <c r="B171">
        <f t="shared" si="11"/>
        <v>13.494600290396294</v>
      </c>
      <c r="C171">
        <f t="shared" si="12"/>
        <v>338</v>
      </c>
      <c r="D171" s="1"/>
      <c r="E171">
        <f t="shared" si="13"/>
        <v>0.64865613181044002</v>
      </c>
      <c r="F171">
        <f t="shared" si="14"/>
        <v>-1.109677550438424</v>
      </c>
      <c r="G171" s="1"/>
    </row>
    <row r="172" spans="1:7" x14ac:dyDescent="0.35">
      <c r="A172">
        <f t="shared" si="10"/>
        <v>9.5330422359268958</v>
      </c>
      <c r="B172">
        <f t="shared" si="11"/>
        <v>12.384922739957871</v>
      </c>
      <c r="C172">
        <f t="shared" si="12"/>
        <v>340</v>
      </c>
      <c r="D172" s="1"/>
      <c r="E172">
        <f t="shared" si="13"/>
        <v>0.71717224045526995</v>
      </c>
      <c r="F172">
        <f t="shared" si="14"/>
        <v>-1.0023602908583675</v>
      </c>
      <c r="G172" s="1"/>
    </row>
    <row r="173" spans="1:7" x14ac:dyDescent="0.35">
      <c r="A173">
        <f t="shared" si="10"/>
        <v>10.250214476382165</v>
      </c>
      <c r="B173">
        <f t="shared" si="11"/>
        <v>11.382562449099503</v>
      </c>
      <c r="C173">
        <f t="shared" si="12"/>
        <v>342</v>
      </c>
      <c r="D173" s="1"/>
      <c r="E173">
        <f t="shared" si="13"/>
        <v>0.79167403485004917</v>
      </c>
      <c r="F173">
        <f t="shared" si="14"/>
        <v>-0.90490883212178275</v>
      </c>
      <c r="G173" s="1"/>
    </row>
    <row r="174" spans="1:7" x14ac:dyDescent="0.35">
      <c r="A174">
        <f t="shared" si="10"/>
        <v>11.041888511232214</v>
      </c>
      <c r="B174">
        <f t="shared" si="11"/>
        <v>10.477653616977721</v>
      </c>
      <c r="C174">
        <f t="shared" si="12"/>
        <v>344</v>
      </c>
      <c r="D174" s="1"/>
      <c r="E174">
        <f t="shared" si="13"/>
        <v>0.87280268492726754</v>
      </c>
      <c r="F174">
        <f t="shared" si="14"/>
        <v>-0.81637919550181814</v>
      </c>
      <c r="G174" s="1"/>
    </row>
    <row r="175" spans="1:7" x14ac:dyDescent="0.35">
      <c r="A175">
        <f t="shared" si="10"/>
        <v>11.914691196159481</v>
      </c>
      <c r="B175">
        <f t="shared" si="11"/>
        <v>9.6612744214759019</v>
      </c>
      <c r="C175">
        <f t="shared" si="12"/>
        <v>346</v>
      </c>
      <c r="D175" s="1"/>
      <c r="E175">
        <f t="shared" si="13"/>
        <v>0.96124691702946874</v>
      </c>
      <c r="F175">
        <f t="shared" si="14"/>
        <v>-0.73590523956111087</v>
      </c>
      <c r="G175" s="1"/>
    </row>
    <row r="176" spans="1:7" x14ac:dyDescent="0.35">
      <c r="A176">
        <f t="shared" si="10"/>
        <v>12.875938113188949</v>
      </c>
      <c r="B176">
        <f t="shared" si="11"/>
        <v>8.9253691819147907</v>
      </c>
      <c r="C176">
        <f t="shared" si="12"/>
        <v>348</v>
      </c>
      <c r="D176" s="1"/>
      <c r="E176">
        <f t="shared" si="13"/>
        <v>1.0577488088714975</v>
      </c>
      <c r="F176">
        <f t="shared" si="14"/>
        <v>-0.66269191574408159</v>
      </c>
      <c r="G176" s="1"/>
    </row>
    <row r="177" spans="1:7" x14ac:dyDescent="0.35">
      <c r="A177">
        <f t="shared" si="10"/>
        <v>13.933686922060447</v>
      </c>
      <c r="B177">
        <f t="shared" si="11"/>
        <v>8.2626772661707086</v>
      </c>
      <c r="C177">
        <f t="shared" si="12"/>
        <v>350</v>
      </c>
      <c r="D177" s="1"/>
      <c r="E177">
        <f t="shared" si="13"/>
        <v>1.163109575876347</v>
      </c>
      <c r="F177">
        <f t="shared" si="14"/>
        <v>-0.59600861028737295</v>
      </c>
      <c r="G177" s="1"/>
    </row>
    <row r="178" spans="1:7" x14ac:dyDescent="0.35">
      <c r="A178">
        <f t="shared" si="10"/>
        <v>15.096796497936793</v>
      </c>
      <c r="B178">
        <f t="shared" si="11"/>
        <v>7.6666686558833357</v>
      </c>
      <c r="C178">
        <f t="shared" si="12"/>
        <v>352</v>
      </c>
      <c r="D178" s="1"/>
      <c r="E178">
        <f t="shared" si="13"/>
        <v>1.2781953767637169</v>
      </c>
      <c r="F178">
        <f t="shared" si="14"/>
        <v>-0.53518259255837097</v>
      </c>
      <c r="G178" s="1"/>
    </row>
    <row r="179" spans="1:7" x14ac:dyDescent="0.35">
      <c r="A179">
        <f t="shared" si="10"/>
        <v>16.374991874700509</v>
      </c>
      <c r="B179">
        <f t="shared" si="11"/>
        <v>7.1314860633249646</v>
      </c>
      <c r="C179">
        <f t="shared" si="12"/>
        <v>354</v>
      </c>
      <c r="D179" s="1"/>
      <c r="E179">
        <f t="shared" si="13"/>
        <v>1.4039431347870788</v>
      </c>
      <c r="F179">
        <f t="shared" si="14"/>
        <v>-0.47959255364952413</v>
      </c>
      <c r="G179" s="1"/>
    </row>
    <row r="180" spans="1:7" x14ac:dyDescent="0.35">
      <c r="A180">
        <f t="shared" si="10"/>
        <v>17.778935009487586</v>
      </c>
      <c r="B180">
        <f t="shared" si="11"/>
        <v>6.6518935096754408</v>
      </c>
      <c r="C180">
        <f t="shared" si="12"/>
        <v>356</v>
      </c>
      <c r="D180" s="1"/>
      <c r="E180">
        <f t="shared" si="13"/>
        <v>1.5413663361516547</v>
      </c>
      <c r="F180">
        <f t="shared" si="14"/>
        <v>-0.42866218617044027</v>
      </c>
      <c r="G180" s="1"/>
    </row>
    <row r="181" spans="1:7" x14ac:dyDescent="0.35">
      <c r="A181">
        <f t="shared" si="10"/>
        <v>19.320301345639241</v>
      </c>
      <c r="B181">
        <f t="shared" si="11"/>
        <v>6.2232313235050007</v>
      </c>
      <c r="C181">
        <f t="shared" si="12"/>
        <v>358</v>
      </c>
      <c r="D181" s="1"/>
      <c r="E181">
        <f t="shared" si="13"/>
        <v>1.6915607255364482</v>
      </c>
      <c r="F181">
        <f t="shared" si="14"/>
        <v>-0.3818537233230242</v>
      </c>
      <c r="G181" s="1"/>
    </row>
    <row r="182" spans="1:7" x14ac:dyDescent="0.35">
      <c r="A182">
        <f t="shared" si="10"/>
        <v>21.011862071175688</v>
      </c>
      <c r="B182">
        <f t="shared" si="11"/>
        <v>5.8413776001819766</v>
      </c>
      <c r="C182">
        <f t="shared" si="12"/>
        <v>360</v>
      </c>
      <c r="D182" s="1"/>
      <c r="E182">
        <f t="shared" si="13"/>
        <v>1.8557097662362112</v>
      </c>
      <c r="F182">
        <f t="shared" si="14"/>
        <v>-0.33866131913683983</v>
      </c>
      <c r="G182" s="1"/>
    </row>
    <row r="183" spans="1:7" x14ac:dyDescent="0.35">
      <c r="A183">
        <f t="shared" si="10"/>
        <v>22.867571837411898</v>
      </c>
      <c r="B183">
        <f t="shared" si="11"/>
        <v>5.5027162810451369</v>
      </c>
      <c r="C183">
        <f t="shared" si="12"/>
        <v>362</v>
      </c>
      <c r="D183" s="1"/>
      <c r="E183">
        <f t="shared" si="13"/>
        <v>2.0350896640257985</v>
      </c>
      <c r="F183">
        <f t="shared" si="14"/>
        <v>-0.29860410838912227</v>
      </c>
      <c r="G183" s="1"/>
    </row>
    <row r="184" spans="1:7" x14ac:dyDescent="0.35">
      <c r="A184">
        <f t="shared" si="10"/>
        <v>24.902661501437695</v>
      </c>
      <c r="B184">
        <f t="shared" si="11"/>
        <v>5.2041121726560142</v>
      </c>
      <c r="C184">
        <f t="shared" si="12"/>
        <v>364</v>
      </c>
      <c r="D184" s="1"/>
      <c r="E184">
        <f t="shared" si="13"/>
        <v>2.2310736624414411</v>
      </c>
      <c r="F184">
        <f t="shared" si="14"/>
        <v>-0.26121872956327308</v>
      </c>
      <c r="G184" s="1"/>
    </row>
    <row r="185" spans="1:7" x14ac:dyDescent="0.35">
      <c r="A185">
        <f t="shared" si="10"/>
        <v>27.133735163879138</v>
      </c>
      <c r="B185">
        <f t="shared" si="11"/>
        <v>4.9428934430927409</v>
      </c>
      <c r="C185">
        <f t="shared" si="12"/>
        <v>366</v>
      </c>
      <c r="D185" s="1"/>
      <c r="E185">
        <f t="shared" si="13"/>
        <v>2.4451351931316077</v>
      </c>
      <c r="F185">
        <f t="shared" si="14"/>
        <v>-0.22605102105296787</v>
      </c>
      <c r="G185" s="1"/>
    </row>
    <row r="186" spans="1:7" x14ac:dyDescent="0.35">
      <c r="A186">
        <f t="shared" si="10"/>
        <v>29.578870357010747</v>
      </c>
      <c r="B186">
        <f t="shared" si="11"/>
        <v>4.7168424220397727</v>
      </c>
      <c r="C186">
        <f t="shared" si="12"/>
        <v>368</v>
      </c>
      <c r="D186" s="1"/>
      <c r="E186">
        <f t="shared" si="13"/>
        <v>2.6788492947091491</v>
      </c>
      <c r="F186">
        <f t="shared" si="14"/>
        <v>-0.19264650121205129</v>
      </c>
      <c r="G186" s="1"/>
    </row>
    <row r="187" spans="1:7" x14ac:dyDescent="0.35">
      <c r="A187">
        <f t="shared" si="10"/>
        <v>32.257719651719896</v>
      </c>
      <c r="B187">
        <f t="shared" si="11"/>
        <v>4.5241959208277214</v>
      </c>
      <c r="C187">
        <f t="shared" si="12"/>
        <v>370</v>
      </c>
      <c r="D187" s="1"/>
      <c r="E187">
        <f t="shared" si="13"/>
        <v>2.9338914778449592</v>
      </c>
      <c r="F187">
        <f t="shared" si="14"/>
        <v>-0.1605391047557414</v>
      </c>
      <c r="G187" s="1"/>
    </row>
    <row r="188" spans="1:7" x14ac:dyDescent="0.35">
      <c r="A188">
        <f t="shared" si="10"/>
        <v>35.191611129564855</v>
      </c>
      <c r="B188">
        <f t="shared" si="11"/>
        <v>4.3636568160719804</v>
      </c>
      <c r="C188">
        <f t="shared" si="12"/>
        <v>372</v>
      </c>
      <c r="D188" s="1"/>
      <c r="E188">
        <f t="shared" si="13"/>
        <v>3.2120328854083251</v>
      </c>
      <c r="F188">
        <f t="shared" si="14"/>
        <v>-0.12923745405903758</v>
      </c>
      <c r="G188" s="1"/>
    </row>
    <row r="189" spans="1:7" x14ac:dyDescent="0.35">
      <c r="A189">
        <f t="shared" si="10"/>
        <v>38.403644014973182</v>
      </c>
      <c r="B189">
        <f t="shared" si="11"/>
        <v>4.2344193620129431</v>
      </c>
      <c r="C189">
        <f t="shared" si="12"/>
        <v>374</v>
      </c>
      <c r="D189" s="1"/>
      <c r="E189">
        <f t="shared" si="13"/>
        <v>3.5151301339196084</v>
      </c>
      <c r="F189">
        <f t="shared" si="14"/>
        <v>-9.8207668623584432E-2</v>
      </c>
      <c r="G189" s="1"/>
    </row>
    <row r="190" spans="1:7" x14ac:dyDescent="0.35">
      <c r="A190">
        <f t="shared" si="10"/>
        <v>41.918774148892787</v>
      </c>
      <c r="B190">
        <f t="shared" si="11"/>
        <v>4.1362116933893587</v>
      </c>
      <c r="C190">
        <f t="shared" si="12"/>
        <v>376</v>
      </c>
      <c r="D190" s="1"/>
      <c r="E190">
        <f t="shared" si="13"/>
        <v>3.8451075672748836</v>
      </c>
      <c r="F190">
        <f t="shared" si="14"/>
        <v>-6.6851321724540058E-2</v>
      </c>
      <c r="G190" s="1"/>
    </row>
    <row r="191" spans="1:7" x14ac:dyDescent="0.35">
      <c r="A191">
        <f t="shared" si="10"/>
        <v>45.763881716167674</v>
      </c>
      <c r="B191">
        <f t="shared" si="11"/>
        <v>4.0693603716648186</v>
      </c>
      <c r="C191">
        <f t="shared" si="12"/>
        <v>378</v>
      </c>
      <c r="D191" s="1"/>
      <c r="E191">
        <f t="shared" si="13"/>
        <v>4.2039287181981102</v>
      </c>
      <c r="F191">
        <f t="shared" si="14"/>
        <v>-3.4476583747824086E-2</v>
      </c>
      <c r="G191" s="1"/>
    </row>
    <row r="192" spans="1:7" x14ac:dyDescent="0.35">
      <c r="A192">
        <f t="shared" si="10"/>
        <v>49.967810434365788</v>
      </c>
      <c r="B192">
        <f t="shared" si="11"/>
        <v>4.0348837879169945</v>
      </c>
      <c r="C192">
        <f t="shared" si="12"/>
        <v>380</v>
      </c>
      <c r="D192" s="1"/>
      <c r="E192">
        <f t="shared" si="13"/>
        <v>4.5935524269579151</v>
      </c>
      <c r="F192">
        <f t="shared" si="14"/>
        <v>-2.5976231303520558E-4</v>
      </c>
      <c r="G192" s="1"/>
    </row>
    <row r="193" spans="1:7" x14ac:dyDescent="0.35">
      <c r="A193">
        <f t="shared" si="10"/>
        <v>54.561362861323701</v>
      </c>
      <c r="B193">
        <f t="shared" si="11"/>
        <v>4.0346240256039589</v>
      </c>
      <c r="C193">
        <f t="shared" si="12"/>
        <v>382</v>
      </c>
      <c r="D193" s="1"/>
      <c r="E193">
        <f t="shared" si="13"/>
        <v>5.0158671151923855</v>
      </c>
      <c r="F193">
        <f t="shared" si="14"/>
        <v>3.6806768379588406E-2</v>
      </c>
      <c r="G193" s="1"/>
    </row>
    <row r="194" spans="1:7" x14ac:dyDescent="0.35">
      <c r="A194">
        <f t="shared" si="10"/>
        <v>59.577229976516087</v>
      </c>
      <c r="B194">
        <f t="shared" si="11"/>
        <v>4.0714307939835477</v>
      </c>
      <c r="C194">
        <f t="shared" si="12"/>
        <v>384</v>
      </c>
      <c r="D194" s="1"/>
      <c r="E194">
        <f t="shared" si="13"/>
        <v>5.4725938601583541</v>
      </c>
      <c r="F194">
        <f t="shared" si="14"/>
        <v>7.798605809489989E-2</v>
      </c>
      <c r="G194" s="1"/>
    </row>
    <row r="195" spans="1:7" x14ac:dyDescent="0.35">
      <c r="A195">
        <f t="shared" si="10"/>
        <v>65.049823836674435</v>
      </c>
      <c r="B195">
        <f t="shared" si="11"/>
        <v>4.1494168520784473</v>
      </c>
      <c r="C195">
        <f t="shared" si="12"/>
        <v>386</v>
      </c>
      <c r="D195" s="1"/>
      <c r="E195">
        <f t="shared" si="13"/>
        <v>5.9651447131621813</v>
      </c>
      <c r="F195">
        <f t="shared" si="14"/>
        <v>0.12489598529741758</v>
      </c>
      <c r="G195" s="1"/>
    </row>
    <row r="196" spans="1:7" x14ac:dyDescent="0.35">
      <c r="A196">
        <f t="shared" ref="A196:A259" si="15">A195 +E195</f>
        <v>71.01496854983661</v>
      </c>
      <c r="B196">
        <f t="shared" ref="B196:B259" si="16">B195 + F195</f>
        <v>4.2743128373758648</v>
      </c>
      <c r="C196">
        <f t="shared" ref="C196:C259" si="17">C195 +$O$2</f>
        <v>388</v>
      </c>
      <c r="D196" s="1"/>
      <c r="E196">
        <f t="shared" ref="E196:E259" si="18">(($K$2 * A196)*$O$2)-((($M$2 * A196) * B196)*$O$2)</f>
        <v>6.4944164715468418</v>
      </c>
      <c r="F196">
        <f t="shared" ref="F196:F259" si="19">-(($N$2 * B196)*$O$2) + ((($L$2 *B196) * A196)*$O$2)</f>
        <v>0.17964909969923332</v>
      </c>
      <c r="G196" s="1"/>
    </row>
    <row r="197" spans="1:7" x14ac:dyDescent="0.35">
      <c r="A197">
        <f t="shared" si="15"/>
        <v>77.509385021383451</v>
      </c>
      <c r="B197">
        <f t="shared" si="16"/>
        <v>4.453961937075098</v>
      </c>
      <c r="C197">
        <f t="shared" si="17"/>
        <v>390</v>
      </c>
      <c r="D197" s="1"/>
      <c r="E197">
        <f t="shared" si="18"/>
        <v>7.0604908008356642</v>
      </c>
      <c r="F197">
        <f t="shared" si="19"/>
        <v>0.24505150759517147</v>
      </c>
      <c r="G197" s="1"/>
    </row>
    <row r="198" spans="1:7" x14ac:dyDescent="0.35">
      <c r="A198">
        <f t="shared" si="15"/>
        <v>84.569875822219117</v>
      </c>
      <c r="B198">
        <f t="shared" si="16"/>
        <v>4.6990134446702694</v>
      </c>
      <c r="C198">
        <f t="shared" si="17"/>
        <v>392</v>
      </c>
      <c r="D198" s="1"/>
      <c r="E198">
        <f t="shared" si="18"/>
        <v>7.6621976152165061</v>
      </c>
      <c r="F198">
        <f t="shared" si="19"/>
        <v>0.32488862253837864</v>
      </c>
      <c r="G198" s="1"/>
    </row>
    <row r="199" spans="1:7" x14ac:dyDescent="0.35">
      <c r="A199">
        <f t="shared" si="15"/>
        <v>92.232073437435616</v>
      </c>
      <c r="B199">
        <f t="shared" si="16"/>
        <v>5.0239020672086481</v>
      </c>
      <c r="C199">
        <f t="shared" si="17"/>
        <v>394</v>
      </c>
      <c r="D199" s="1"/>
      <c r="E199">
        <f t="shared" si="18"/>
        <v>8.2964775349330164</v>
      </c>
      <c r="F199">
        <f t="shared" si="19"/>
        <v>0.42433960208968047</v>
      </c>
      <c r="G199" s="1"/>
    </row>
    <row r="200" spans="1:7" x14ac:dyDescent="0.35">
      <c r="A200">
        <f t="shared" si="15"/>
        <v>100.52855097236863</v>
      </c>
      <c r="B200">
        <f t="shared" si="16"/>
        <v>5.4482416692983282</v>
      </c>
      <c r="C200">
        <f t="shared" si="17"/>
        <v>396</v>
      </c>
      <c r="D200" s="1"/>
      <c r="E200">
        <f t="shared" si="18"/>
        <v>8.957447416513185</v>
      </c>
      <c r="F200">
        <f t="shared" si="19"/>
        <v>0.55058351379384662</v>
      </c>
      <c r="G200" s="1"/>
    </row>
    <row r="201" spans="1:7" x14ac:dyDescent="0.35">
      <c r="A201">
        <f t="shared" si="15"/>
        <v>109.48599838888182</v>
      </c>
      <c r="B201">
        <f t="shared" si="16"/>
        <v>5.9988251830921744</v>
      </c>
      <c r="C201">
        <f t="shared" si="17"/>
        <v>398</v>
      </c>
      <c r="D201" s="1"/>
      <c r="E201">
        <f t="shared" si="18"/>
        <v>9.6350251102257563</v>
      </c>
      <c r="F201">
        <f t="shared" si="19"/>
        <v>0.71369221035320962</v>
      </c>
      <c r="G201" s="1"/>
    </row>
    <row r="202" spans="1:7" x14ac:dyDescent="0.35">
      <c r="A202">
        <f t="shared" si="15"/>
        <v>119.12102349910758</v>
      </c>
      <c r="B202">
        <f t="shared" si="16"/>
        <v>6.7125173934453839</v>
      </c>
      <c r="C202">
        <f t="shared" si="17"/>
        <v>400</v>
      </c>
      <c r="D202" s="1"/>
      <c r="E202">
        <f t="shared" si="18"/>
        <v>10.312898465585207</v>
      </c>
      <c r="F202">
        <f t="shared" si="19"/>
        <v>0.92795214498101364</v>
      </c>
      <c r="G202" s="1"/>
    </row>
    <row r="203" spans="1:7" x14ac:dyDescent="0.35">
      <c r="A203">
        <f t="shared" si="15"/>
        <v>129.43392196469279</v>
      </c>
      <c r="B203">
        <f t="shared" si="16"/>
        <v>7.6404695384263972</v>
      </c>
      <c r="C203">
        <f t="shared" si="17"/>
        <v>402</v>
      </c>
      <c r="D203" s="1"/>
      <c r="E203">
        <f t="shared" si="18"/>
        <v>10.96552032044869</v>
      </c>
      <c r="F203">
        <f t="shared" si="19"/>
        <v>1.2138249221779496</v>
      </c>
      <c r="G203" s="1"/>
    </row>
    <row r="204" spans="1:7" x14ac:dyDescent="0.35">
      <c r="A204">
        <f t="shared" si="15"/>
        <v>140.39944228514148</v>
      </c>
      <c r="B204">
        <f t="shared" si="16"/>
        <v>8.854294460604347</v>
      </c>
      <c r="C204">
        <f t="shared" si="17"/>
        <v>404</v>
      </c>
      <c r="D204" s="1"/>
      <c r="E204">
        <f t="shared" si="18"/>
        <v>11.553668220319611</v>
      </c>
      <c r="F204">
        <f t="shared" si="19"/>
        <v>1.6008465621341013</v>
      </c>
      <c r="G204" s="1"/>
    </row>
    <row r="205" spans="1:7" x14ac:dyDescent="0.35">
      <c r="A205">
        <f t="shared" si="15"/>
        <v>151.9531105054611</v>
      </c>
      <c r="B205">
        <f t="shared" si="16"/>
        <v>10.455141022738449</v>
      </c>
      <c r="C205">
        <f t="shared" si="17"/>
        <v>406</v>
      </c>
      <c r="D205" s="1"/>
      <c r="E205">
        <f t="shared" si="18"/>
        <v>12.017928652189401</v>
      </c>
      <c r="F205">
        <f t="shared" si="19"/>
        <v>2.1318682960828657</v>
      </c>
      <c r="G205" s="1"/>
    </row>
    <row r="206" spans="1:7" x14ac:dyDescent="0.35">
      <c r="A206">
        <f t="shared" si="15"/>
        <v>163.97103915765049</v>
      </c>
      <c r="B206">
        <f t="shared" si="16"/>
        <v>12.587009318821314</v>
      </c>
      <c r="C206">
        <f t="shared" si="17"/>
        <v>408</v>
      </c>
      <c r="D206" s="1"/>
      <c r="E206">
        <f t="shared" si="18"/>
        <v>12.269293919976729</v>
      </c>
      <c r="F206">
        <f t="shared" si="19"/>
        <v>2.8691090639061914</v>
      </c>
      <c r="G206" s="1"/>
    </row>
    <row r="207" spans="1:7" x14ac:dyDescent="0.35">
      <c r="A207">
        <f t="shared" si="15"/>
        <v>176.24033307762721</v>
      </c>
      <c r="B207">
        <f t="shared" si="16"/>
        <v>15.456118382727507</v>
      </c>
      <c r="C207">
        <f t="shared" si="17"/>
        <v>410</v>
      </c>
      <c r="D207" s="1"/>
      <c r="E207">
        <f t="shared" si="18"/>
        <v>12.176050404044457</v>
      </c>
      <c r="F207">
        <f t="shared" si="19"/>
        <v>3.9023710654455144</v>
      </c>
      <c r="G207" s="1"/>
    </row>
    <row r="208" spans="1:7" x14ac:dyDescent="0.35">
      <c r="A208">
        <f t="shared" si="15"/>
        <v>188.41638348167166</v>
      </c>
      <c r="B208">
        <f t="shared" si="16"/>
        <v>19.358489448173021</v>
      </c>
      <c r="C208">
        <f t="shared" si="17"/>
        <v>412</v>
      </c>
      <c r="D208" s="1"/>
      <c r="E208">
        <f t="shared" si="18"/>
        <v>11.546725205181442</v>
      </c>
      <c r="F208">
        <f t="shared" si="19"/>
        <v>5.3590641981684222</v>
      </c>
      <c r="G208" s="1"/>
    </row>
    <row r="209" spans="1:7" x14ac:dyDescent="0.35">
      <c r="A209">
        <f t="shared" si="15"/>
        <v>199.9631086868531</v>
      </c>
      <c r="B209">
        <f t="shared" si="16"/>
        <v>24.717553646341443</v>
      </c>
      <c r="C209">
        <f t="shared" si="17"/>
        <v>414</v>
      </c>
      <c r="D209" s="1"/>
      <c r="E209">
        <f t="shared" si="18"/>
        <v>10.111113136172321</v>
      </c>
      <c r="F209">
        <f t="shared" si="19"/>
        <v>7.413442367878849</v>
      </c>
      <c r="G209" s="1"/>
    </row>
    <row r="210" spans="1:7" x14ac:dyDescent="0.35">
      <c r="A210">
        <f t="shared" si="15"/>
        <v>210.07422182302543</v>
      </c>
      <c r="B210">
        <f t="shared" si="16"/>
        <v>32.130996014220294</v>
      </c>
      <c r="C210">
        <f t="shared" si="17"/>
        <v>416</v>
      </c>
      <c r="D210" s="1"/>
      <c r="E210">
        <f t="shared" si="18"/>
        <v>7.5076342141304249</v>
      </c>
      <c r="F210">
        <f t="shared" si="19"/>
        <v>10.28668836675009</v>
      </c>
      <c r="G210" s="1"/>
    </row>
    <row r="211" spans="1:7" x14ac:dyDescent="0.35">
      <c r="A211">
        <f t="shared" si="15"/>
        <v>217.58185603715586</v>
      </c>
      <c r="B211">
        <f t="shared" si="16"/>
        <v>42.417684380970385</v>
      </c>
      <c r="C211">
        <f t="shared" si="17"/>
        <v>418</v>
      </c>
      <c r="D211" s="1"/>
      <c r="E211">
        <f t="shared" si="18"/>
        <v>3.2995486108959646</v>
      </c>
      <c r="F211">
        <f t="shared" si="19"/>
        <v>14.216868554722584</v>
      </c>
      <c r="G211" s="1"/>
    </row>
    <row r="212" spans="1:7" x14ac:dyDescent="0.35">
      <c r="A212">
        <f t="shared" si="15"/>
        <v>220.88140464805181</v>
      </c>
      <c r="B212">
        <f t="shared" si="16"/>
        <v>56.634552935692966</v>
      </c>
      <c r="C212">
        <f t="shared" si="17"/>
        <v>420</v>
      </c>
      <c r="D212" s="1"/>
      <c r="E212">
        <f t="shared" si="18"/>
        <v>-2.9308987432954368</v>
      </c>
      <c r="F212">
        <f t="shared" si="19"/>
        <v>19.355583914531323</v>
      </c>
      <c r="G212" s="1"/>
    </row>
    <row r="213" spans="1:7" x14ac:dyDescent="0.35">
      <c r="A213">
        <f t="shared" si="15"/>
        <v>217.95050590475637</v>
      </c>
      <c r="B213">
        <f t="shared" si="16"/>
        <v>75.990136850224289</v>
      </c>
      <c r="C213">
        <f t="shared" si="17"/>
        <v>422</v>
      </c>
      <c r="D213" s="1"/>
      <c r="E213">
        <f t="shared" si="18"/>
        <v>-11.329126950080465</v>
      </c>
      <c r="F213">
        <f t="shared" si="19"/>
        <v>25.525163855533684</v>
      </c>
      <c r="G213" s="1"/>
    </row>
    <row r="214" spans="1:7" x14ac:dyDescent="0.35">
      <c r="A214">
        <f t="shared" si="15"/>
        <v>206.62137895467589</v>
      </c>
      <c r="B214">
        <f t="shared" si="16"/>
        <v>101.51530070575797</v>
      </c>
      <c r="C214">
        <f t="shared" si="17"/>
        <v>424</v>
      </c>
      <c r="D214" s="1"/>
      <c r="E214">
        <f t="shared" si="18"/>
        <v>-21.288324938176995</v>
      </c>
      <c r="F214">
        <f t="shared" si="19"/>
        <v>31.798932763068791</v>
      </c>
      <c r="G214" s="1"/>
    </row>
    <row r="215" spans="1:7" x14ac:dyDescent="0.35">
      <c r="A215">
        <f t="shared" si="15"/>
        <v>185.33305401649889</v>
      </c>
      <c r="B215">
        <f t="shared" si="16"/>
        <v>133.31423346882676</v>
      </c>
      <c r="C215">
        <f t="shared" si="17"/>
        <v>426</v>
      </c>
      <c r="D215" s="1"/>
      <c r="E215">
        <f t="shared" si="18"/>
        <v>-30.881762663642533</v>
      </c>
      <c r="F215">
        <f t="shared" si="19"/>
        <v>36.083644718409758</v>
      </c>
      <c r="G215" s="1"/>
    </row>
    <row r="216" spans="1:7" x14ac:dyDescent="0.35">
      <c r="A216">
        <f t="shared" si="15"/>
        <v>154.45129135285634</v>
      </c>
      <c r="B216">
        <f t="shared" si="16"/>
        <v>169.39787818723653</v>
      </c>
      <c r="C216">
        <f t="shared" si="17"/>
        <v>428</v>
      </c>
      <c r="D216" s="1"/>
      <c r="E216">
        <f t="shared" si="18"/>
        <v>-36.882312941619446</v>
      </c>
      <c r="F216">
        <f t="shared" si="19"/>
        <v>35.387654258181428</v>
      </c>
      <c r="G216" s="1"/>
    </row>
    <row r="217" spans="1:7" x14ac:dyDescent="0.35">
      <c r="A217">
        <f t="shared" si="15"/>
        <v>117.5689784112369</v>
      </c>
      <c r="B217">
        <f t="shared" si="16"/>
        <v>204.78553244541797</v>
      </c>
      <c r="C217">
        <f t="shared" si="17"/>
        <v>430</v>
      </c>
      <c r="D217" s="1"/>
      <c r="E217">
        <f t="shared" si="18"/>
        <v>-36.395953844894308</v>
      </c>
      <c r="F217">
        <f t="shared" si="19"/>
        <v>27.674298441476196</v>
      </c>
      <c r="G217" s="1"/>
    </row>
    <row r="218" spans="1:7" x14ac:dyDescent="0.35">
      <c r="A218">
        <f t="shared" si="15"/>
        <v>81.17302456634259</v>
      </c>
      <c r="B218">
        <f t="shared" si="16"/>
        <v>232.45983088689417</v>
      </c>
      <c r="C218">
        <f t="shared" si="17"/>
        <v>432</v>
      </c>
      <c r="D218" s="1"/>
      <c r="E218">
        <f t="shared" si="18"/>
        <v>-29.62163266990515</v>
      </c>
      <c r="F218">
        <f t="shared" si="19"/>
        <v>14.492952037849992</v>
      </c>
      <c r="G218" s="1"/>
    </row>
    <row r="219" spans="1:7" x14ac:dyDescent="0.35">
      <c r="A219">
        <f t="shared" si="15"/>
        <v>51.551391896437437</v>
      </c>
      <c r="B219">
        <f t="shared" si="16"/>
        <v>246.95278292474416</v>
      </c>
      <c r="C219">
        <f t="shared" si="17"/>
        <v>434</v>
      </c>
      <c r="D219" s="1"/>
      <c r="E219">
        <f t="shared" si="18"/>
        <v>-20.306380195294917</v>
      </c>
      <c r="F219">
        <f t="shared" si="19"/>
        <v>0.76624109246424155</v>
      </c>
      <c r="G219" s="1"/>
    </row>
    <row r="220" spans="1:7" x14ac:dyDescent="0.35">
      <c r="A220">
        <f t="shared" si="15"/>
        <v>31.24501170114252</v>
      </c>
      <c r="B220">
        <f t="shared" si="16"/>
        <v>247.7190240172084</v>
      </c>
      <c r="C220">
        <f t="shared" si="17"/>
        <v>436</v>
      </c>
      <c r="D220" s="1"/>
      <c r="E220">
        <f t="shared" si="18"/>
        <v>-12.355466437912312</v>
      </c>
      <c r="F220">
        <f t="shared" si="19"/>
        <v>-9.2919347936942778</v>
      </c>
      <c r="G220" s="1"/>
    </row>
    <row r="221" spans="1:7" x14ac:dyDescent="0.35">
      <c r="A221">
        <f t="shared" si="15"/>
        <v>18.889545263230207</v>
      </c>
      <c r="B221">
        <f t="shared" si="16"/>
        <v>238.42708922351412</v>
      </c>
      <c r="C221">
        <f t="shared" si="17"/>
        <v>438</v>
      </c>
      <c r="D221" s="1"/>
      <c r="E221">
        <f t="shared" si="18"/>
        <v>-7.1186040614125741</v>
      </c>
      <c r="F221">
        <f t="shared" si="19"/>
        <v>-14.835150334615818</v>
      </c>
      <c r="G221" s="1"/>
    </row>
    <row r="222" spans="1:7" x14ac:dyDescent="0.35">
      <c r="A222">
        <f t="shared" si="15"/>
        <v>11.770941201817633</v>
      </c>
      <c r="B222">
        <f t="shared" si="16"/>
        <v>223.59193888889831</v>
      </c>
      <c r="C222">
        <f t="shared" si="17"/>
        <v>440</v>
      </c>
      <c r="D222" s="1"/>
      <c r="E222">
        <f t="shared" si="18"/>
        <v>-4.0866810115414838</v>
      </c>
      <c r="F222">
        <f t="shared" si="19"/>
        <v>-17.095418757166588</v>
      </c>
      <c r="G222" s="1"/>
    </row>
    <row r="223" spans="1:7" x14ac:dyDescent="0.35">
      <c r="A223">
        <f t="shared" si="15"/>
        <v>7.6842601902761496</v>
      </c>
      <c r="B223">
        <f t="shared" si="16"/>
        <v>206.49652013173173</v>
      </c>
      <c r="C223">
        <f t="shared" si="17"/>
        <v>442</v>
      </c>
      <c r="D223" s="1"/>
      <c r="E223">
        <f t="shared" si="18"/>
        <v>-2.4051199591300323</v>
      </c>
      <c r="F223">
        <f t="shared" si="19"/>
        <v>-17.476106035015526</v>
      </c>
      <c r="G223" s="1"/>
    </row>
    <row r="224" spans="1:7" x14ac:dyDescent="0.35">
      <c r="A224">
        <f t="shared" si="15"/>
        <v>5.2791402311461173</v>
      </c>
      <c r="B224">
        <f t="shared" si="16"/>
        <v>189.02041409671619</v>
      </c>
      <c r="C224">
        <f t="shared" si="17"/>
        <v>444</v>
      </c>
      <c r="D224" s="1"/>
      <c r="E224">
        <f t="shared" si="18"/>
        <v>-1.4678165220171346</v>
      </c>
      <c r="F224">
        <f t="shared" si="19"/>
        <v>-16.906310864539876</v>
      </c>
      <c r="G224" s="1"/>
    </row>
    <row r="225" spans="1:7" x14ac:dyDescent="0.35">
      <c r="A225">
        <f t="shared" si="15"/>
        <v>3.8113237091289829</v>
      </c>
      <c r="B225">
        <f t="shared" si="16"/>
        <v>172.11410323217632</v>
      </c>
      <c r="C225">
        <f t="shared" si="17"/>
        <v>446</v>
      </c>
      <c r="D225" s="1"/>
      <c r="E225">
        <f t="shared" si="18"/>
        <v>-0.93083275373563568</v>
      </c>
      <c r="F225">
        <f t="shared" si="19"/>
        <v>-15.899445198569097</v>
      </c>
      <c r="G225" s="1"/>
    </row>
    <row r="226" spans="1:7" x14ac:dyDescent="0.35">
      <c r="A226">
        <f t="shared" si="15"/>
        <v>2.8804909553933471</v>
      </c>
      <c r="B226">
        <f t="shared" si="16"/>
        <v>156.21465803360724</v>
      </c>
      <c r="C226">
        <f t="shared" si="17"/>
        <v>448</v>
      </c>
      <c r="D226" s="1"/>
      <c r="E226">
        <f t="shared" si="18"/>
        <v>-0.61190072359200598</v>
      </c>
      <c r="F226">
        <f t="shared" si="19"/>
        <v>-14.721515984229384</v>
      </c>
      <c r="G226" s="1"/>
    </row>
    <row r="227" spans="1:7" x14ac:dyDescent="0.35">
      <c r="A227">
        <f t="shared" si="15"/>
        <v>2.2685902318013413</v>
      </c>
      <c r="B227">
        <f t="shared" si="16"/>
        <v>141.49314204937787</v>
      </c>
      <c r="C227">
        <f t="shared" si="17"/>
        <v>450</v>
      </c>
      <c r="D227" s="1"/>
      <c r="E227">
        <f t="shared" si="18"/>
        <v>-0.41512089666006236</v>
      </c>
      <c r="F227">
        <f t="shared" si="19"/>
        <v>-13.507334285097592</v>
      </c>
      <c r="G227" s="1"/>
    </row>
    <row r="228" spans="1:7" x14ac:dyDescent="0.35">
      <c r="A228">
        <f t="shared" si="15"/>
        <v>1.853469335141279</v>
      </c>
      <c r="B228">
        <f t="shared" si="16"/>
        <v>127.98580776428028</v>
      </c>
      <c r="C228">
        <f t="shared" si="17"/>
        <v>452</v>
      </c>
      <c r="D228" s="1"/>
      <c r="E228">
        <f t="shared" si="18"/>
        <v>-0.28908860653463236</v>
      </c>
      <c r="F228">
        <f t="shared" si="19"/>
        <v>-12.324145236379268</v>
      </c>
      <c r="G228" s="1"/>
    </row>
    <row r="229" spans="1:7" x14ac:dyDescent="0.35">
      <c r="A229">
        <f t="shared" si="15"/>
        <v>1.5643807286066467</v>
      </c>
      <c r="B229">
        <f t="shared" si="16"/>
        <v>115.66166252790102</v>
      </c>
      <c r="C229">
        <f t="shared" si="17"/>
        <v>454</v>
      </c>
      <c r="D229" s="1"/>
      <c r="E229">
        <f t="shared" si="18"/>
        <v>-0.20543967893384307</v>
      </c>
      <c r="F229">
        <f t="shared" si="19"/>
        <v>-11.204288500995595</v>
      </c>
      <c r="G229" s="1"/>
    </row>
    <row r="230" spans="1:7" x14ac:dyDescent="0.35">
      <c r="A230">
        <f t="shared" si="15"/>
        <v>1.3589410496728036</v>
      </c>
      <c r="B230">
        <f t="shared" si="16"/>
        <v>104.45737402690543</v>
      </c>
      <c r="C230">
        <f t="shared" si="17"/>
        <v>456</v>
      </c>
      <c r="D230" s="1"/>
      <c r="E230">
        <f t="shared" si="18"/>
        <v>-0.14800872204509466</v>
      </c>
      <c r="F230">
        <f t="shared" si="19"/>
        <v>-10.161834575678169</v>
      </c>
      <c r="G230" s="1"/>
    </row>
    <row r="231" spans="1:7" x14ac:dyDescent="0.35">
      <c r="A231">
        <f t="shared" si="15"/>
        <v>1.2109323276277089</v>
      </c>
      <c r="B231">
        <f t="shared" si="16"/>
        <v>94.295539451227256</v>
      </c>
      <c r="C231">
        <f t="shared" si="17"/>
        <v>458</v>
      </c>
      <c r="D231" s="1"/>
      <c r="E231">
        <f t="shared" si="18"/>
        <v>-0.10727780138239926</v>
      </c>
      <c r="F231">
        <f t="shared" si="19"/>
        <v>-9.2011829109775558</v>
      </c>
      <c r="G231" s="1"/>
    </row>
    <row r="232" spans="1:7" x14ac:dyDescent="0.35">
      <c r="A232">
        <f t="shared" si="15"/>
        <v>1.1036545262453097</v>
      </c>
      <c r="B232">
        <f t="shared" si="16"/>
        <v>85.094356540249706</v>
      </c>
      <c r="C232">
        <f t="shared" si="17"/>
        <v>460</v>
      </c>
      <c r="D232" s="1"/>
      <c r="E232">
        <f t="shared" si="18"/>
        <v>-7.7464090882626527E-2</v>
      </c>
      <c r="F232">
        <f t="shared" si="19"/>
        <v>-8.3216061105178127</v>
      </c>
      <c r="G232" s="1"/>
    </row>
    <row r="233" spans="1:7" x14ac:dyDescent="0.35">
      <c r="A233">
        <f t="shared" si="15"/>
        <v>1.0261904353626832</v>
      </c>
      <c r="B233">
        <f t="shared" si="16"/>
        <v>76.7727504297319</v>
      </c>
      <c r="C233">
        <f t="shared" si="17"/>
        <v>462</v>
      </c>
      <c r="D233" s="1"/>
      <c r="E233">
        <f t="shared" si="18"/>
        <v>-5.494788083868607E-2</v>
      </c>
      <c r="F233">
        <f t="shared" si="19"/>
        <v>-7.5197081185982357</v>
      </c>
      <c r="G233" s="1"/>
    </row>
    <row r="234" spans="1:7" x14ac:dyDescent="0.35">
      <c r="A234">
        <f t="shared" si="15"/>
        <v>0.9712425545239971</v>
      </c>
      <c r="B234">
        <f t="shared" si="16"/>
        <v>69.253042311133669</v>
      </c>
      <c r="C234">
        <f t="shared" si="17"/>
        <v>464</v>
      </c>
      <c r="D234" s="1"/>
      <c r="E234">
        <f t="shared" si="18"/>
        <v>-3.7398747993248133E-2</v>
      </c>
      <c r="F234">
        <f t="shared" si="19"/>
        <v>-6.7907812276677193</v>
      </c>
      <c r="G234" s="1"/>
    </row>
    <row r="235" spans="1:7" x14ac:dyDescent="0.35">
      <c r="A235">
        <f t="shared" si="15"/>
        <v>0.93384380653074894</v>
      </c>
      <c r="B235">
        <f t="shared" si="16"/>
        <v>62.462261083465947</v>
      </c>
      <c r="C235">
        <f t="shared" si="17"/>
        <v>466</v>
      </c>
      <c r="D235" s="1"/>
      <c r="E235">
        <f t="shared" si="18"/>
        <v>-2.3275610656327703E-2</v>
      </c>
      <c r="F235">
        <f t="shared" si="19"/>
        <v>-6.129566117037192</v>
      </c>
      <c r="G235" s="1"/>
    </row>
    <row r="236" spans="1:7" x14ac:dyDescent="0.35">
      <c r="A236">
        <f t="shared" si="15"/>
        <v>0.91056819587442128</v>
      </c>
      <c r="B236">
        <f t="shared" si="16"/>
        <v>56.332694966428754</v>
      </c>
      <c r="C236">
        <f t="shared" si="17"/>
        <v>468</v>
      </c>
      <c r="D236" s="1"/>
      <c r="E236">
        <f t="shared" si="18"/>
        <v>-1.1532701261208117E-2</v>
      </c>
      <c r="F236">
        <f t="shared" si="19"/>
        <v>-5.5306799757942251</v>
      </c>
      <c r="G236" s="1"/>
    </row>
    <row r="237" spans="1:7" x14ac:dyDescent="0.35">
      <c r="A237">
        <f t="shared" si="15"/>
        <v>0.89903549461321319</v>
      </c>
      <c r="B237">
        <f t="shared" si="16"/>
        <v>50.802014990634532</v>
      </c>
      <c r="C237">
        <f t="shared" si="17"/>
        <v>470</v>
      </c>
      <c r="D237" s="1"/>
      <c r="E237">
        <f t="shared" si="18"/>
        <v>-1.4420798875846436E-3</v>
      </c>
      <c r="F237">
        <f t="shared" si="19"/>
        <v>-4.9888558697145475</v>
      </c>
      <c r="G237" s="1"/>
    </row>
    <row r="238" spans="1:7" x14ac:dyDescent="0.35">
      <c r="A238">
        <f t="shared" si="15"/>
        <v>0.89759341472562859</v>
      </c>
      <c r="B238">
        <f t="shared" si="16"/>
        <v>45.813159120919984</v>
      </c>
      <c r="C238">
        <f t="shared" si="17"/>
        <v>472</v>
      </c>
      <c r="D238" s="1"/>
      <c r="E238">
        <f t="shared" si="18"/>
        <v>7.516161603132579E-3</v>
      </c>
      <c r="F238">
        <f t="shared" si="19"/>
        <v>-4.4990727322225679</v>
      </c>
      <c r="G238" s="1"/>
    </row>
    <row r="239" spans="1:7" x14ac:dyDescent="0.35">
      <c r="A239">
        <f t="shared" si="15"/>
        <v>0.90510957632876121</v>
      </c>
      <c r="B239">
        <f t="shared" si="16"/>
        <v>41.314086388697419</v>
      </c>
      <c r="C239">
        <f t="shared" si="17"/>
        <v>474</v>
      </c>
      <c r="D239" s="1"/>
      <c r="E239">
        <f t="shared" si="18"/>
        <v>1.57234071775086E-2</v>
      </c>
      <c r="F239">
        <f t="shared" si="19"/>
        <v>-4.0566210884143752</v>
      </c>
      <c r="G239" s="1"/>
    </row>
    <row r="240" spans="1:7" x14ac:dyDescent="0.35">
      <c r="A240">
        <f t="shared" si="15"/>
        <v>0.92083298350626985</v>
      </c>
      <c r="B240">
        <f t="shared" si="16"/>
        <v>37.257465300283044</v>
      </c>
      <c r="C240">
        <f t="shared" si="17"/>
        <v>476</v>
      </c>
      <c r="D240" s="1"/>
      <c r="E240">
        <f t="shared" si="18"/>
        <v>2.3467492489945077E-2</v>
      </c>
      <c r="F240">
        <f t="shared" si="19"/>
        <v>-3.6571307241676227</v>
      </c>
      <c r="G240" s="1"/>
    </row>
    <row r="241" spans="1:7" x14ac:dyDescent="0.35">
      <c r="A241">
        <f t="shared" si="15"/>
        <v>0.94430047599621492</v>
      </c>
      <c r="B241">
        <f t="shared" si="16"/>
        <v>33.600334576115422</v>
      </c>
      <c r="C241">
        <f t="shared" si="17"/>
        <v>478</v>
      </c>
      <c r="D241" s="1"/>
      <c r="E241">
        <f t="shared" si="18"/>
        <v>3.0972423731905757E-2</v>
      </c>
      <c r="F241">
        <f t="shared" si="19"/>
        <v>-3.2965758337438267</v>
      </c>
      <c r="G241" s="1"/>
    </row>
    <row r="242" spans="1:7" x14ac:dyDescent="0.35">
      <c r="A242">
        <f t="shared" si="15"/>
        <v>0.9752728997281207</v>
      </c>
      <c r="B242">
        <f t="shared" si="16"/>
        <v>30.303758742371596</v>
      </c>
      <c r="C242">
        <f t="shared" si="17"/>
        <v>480</v>
      </c>
      <c r="D242" s="1"/>
      <c r="E242">
        <f t="shared" si="18"/>
        <v>3.8418420650143802E-2</v>
      </c>
      <c r="F242">
        <f t="shared" si="19"/>
        <v>-2.9712670049144916</v>
      </c>
      <c r="G242" s="1"/>
    </row>
    <row r="243" spans="1:7" x14ac:dyDescent="0.35">
      <c r="A243">
        <f t="shared" si="15"/>
        <v>1.0136913203782645</v>
      </c>
      <c r="B243">
        <f t="shared" si="16"/>
        <v>27.332491737457104</v>
      </c>
      <c r="C243">
        <f t="shared" si="17"/>
        <v>482</v>
      </c>
      <c r="D243" s="1"/>
      <c r="E243">
        <f t="shared" si="18"/>
        <v>4.5955712760684664E-2</v>
      </c>
      <c r="F243">
        <f t="shared" si="19"/>
        <v>-2.6778357544685689</v>
      </c>
      <c r="G243" s="1"/>
    </row>
    <row r="244" spans="1:7" x14ac:dyDescent="0.35">
      <c r="A244">
        <f t="shared" si="15"/>
        <v>1.0596470331389491</v>
      </c>
      <c r="B244">
        <f t="shared" si="16"/>
        <v>24.654655982988537</v>
      </c>
      <c r="C244">
        <f t="shared" si="17"/>
        <v>484</v>
      </c>
      <c r="D244" s="1"/>
      <c r="E244">
        <f t="shared" si="18"/>
        <v>5.3714237183024427E-2</v>
      </c>
      <c r="F244">
        <f t="shared" si="19"/>
        <v>-2.4132151321679833</v>
      </c>
      <c r="G244" s="1"/>
    </row>
    <row r="245" spans="1:7" x14ac:dyDescent="0.35">
      <c r="A245">
        <f t="shared" si="15"/>
        <v>1.1133612703219735</v>
      </c>
      <c r="B245">
        <f t="shared" si="16"/>
        <v>22.241440850820553</v>
      </c>
      <c r="C245">
        <f t="shared" si="17"/>
        <v>486</v>
      </c>
      <c r="D245" s="1"/>
      <c r="E245">
        <f t="shared" si="18"/>
        <v>6.1810609353276147E-2</v>
      </c>
      <c r="F245">
        <f t="shared" si="19"/>
        <v>-2.1746185674031344</v>
      </c>
      <c r="G245" s="1"/>
    </row>
    <row r="246" spans="1:7" x14ac:dyDescent="0.35">
      <c r="A246">
        <f t="shared" si="15"/>
        <v>1.1751718796752497</v>
      </c>
      <c r="B246">
        <f t="shared" si="16"/>
        <v>20.066822283417419</v>
      </c>
      <c r="C246">
        <f t="shared" si="17"/>
        <v>488</v>
      </c>
      <c r="D246" s="1"/>
      <c r="E246">
        <f t="shared" si="18"/>
        <v>7.0353257443699302E-2</v>
      </c>
      <c r="F246">
        <f t="shared" si="19"/>
        <v>-1.9595182978179164</v>
      </c>
      <c r="G246" s="1"/>
    </row>
    <row r="247" spans="1:7" x14ac:dyDescent="0.35">
      <c r="A247">
        <f t="shared" si="15"/>
        <v>1.2455251371189491</v>
      </c>
      <c r="B247">
        <f t="shared" si="16"/>
        <v>18.107303985599504</v>
      </c>
      <c r="C247">
        <f t="shared" si="17"/>
        <v>490</v>
      </c>
      <c r="D247" s="1"/>
      <c r="E247">
        <f t="shared" si="18"/>
        <v>7.9446309152858274E-2</v>
      </c>
      <c r="F247">
        <f t="shared" si="19"/>
        <v>-1.7656241940009139</v>
      </c>
      <c r="G247" s="1"/>
    </row>
    <row r="248" spans="1:7" x14ac:dyDescent="0.35">
      <c r="A248">
        <f t="shared" si="15"/>
        <v>1.3249714462718074</v>
      </c>
      <c r="B248">
        <f t="shared" si="16"/>
        <v>16.34167979159859</v>
      </c>
      <c r="C248">
        <f t="shared" si="17"/>
        <v>492</v>
      </c>
      <c r="D248" s="1"/>
      <c r="E248">
        <f t="shared" si="18"/>
        <v>8.9192626411210424E-2</v>
      </c>
      <c r="F248">
        <f t="shared" si="19"/>
        <v>-1.5908634609438888</v>
      </c>
      <c r="G248" s="1"/>
    </row>
    <row r="249" spans="1:7" x14ac:dyDescent="0.35">
      <c r="A249">
        <f t="shared" si="15"/>
        <v>1.4141640726830178</v>
      </c>
      <c r="B249">
        <f t="shared" si="16"/>
        <v>14.750816330654702</v>
      </c>
      <c r="C249">
        <f t="shared" si="17"/>
        <v>494</v>
      </c>
      <c r="D249" s="1"/>
      <c r="E249">
        <f t="shared" si="18"/>
        <v>9.969625827318615E-2</v>
      </c>
      <c r="F249">
        <f t="shared" si="19"/>
        <v>-1.4333614840703548</v>
      </c>
      <c r="G249" s="1"/>
    </row>
    <row r="250" spans="1:7" x14ac:dyDescent="0.35">
      <c r="A250">
        <f t="shared" si="15"/>
        <v>1.513860330956204</v>
      </c>
      <c r="B250">
        <f t="shared" si="16"/>
        <v>13.317454846584347</v>
      </c>
      <c r="C250">
        <f t="shared" si="17"/>
        <v>496</v>
      </c>
      <c r="D250" s="1"/>
      <c r="E250">
        <f t="shared" si="18"/>
        <v>0.11106449989253145</v>
      </c>
      <c r="F250">
        <f t="shared" si="19"/>
        <v>-1.2914239514553458</v>
      </c>
      <c r="G250" s="1"/>
    </row>
    <row r="251" spans="1:7" x14ac:dyDescent="0.35">
      <c r="A251">
        <f t="shared" si="15"/>
        <v>1.6249248308487354</v>
      </c>
      <c r="B251">
        <f t="shared" si="16"/>
        <v>12.026030895129001</v>
      </c>
      <c r="C251">
        <f t="shared" si="17"/>
        <v>498</v>
      </c>
      <c r="D251" s="1"/>
      <c r="E251">
        <f t="shared" si="18"/>
        <v>0.12340969064877523</v>
      </c>
      <c r="F251">
        <f t="shared" si="19"/>
        <v>-1.1635202970768017</v>
      </c>
      <c r="G251" s="1"/>
    </row>
    <row r="252" spans="1:7" x14ac:dyDescent="0.35">
      <c r="A252">
        <f t="shared" si="15"/>
        <v>1.7483345214975106</v>
      </c>
      <c r="B252">
        <f t="shared" si="16"/>
        <v>10.862510598052198</v>
      </c>
      <c r="C252">
        <f t="shared" si="17"/>
        <v>500</v>
      </c>
      <c r="D252" s="1"/>
      <c r="E252">
        <f t="shared" si="18"/>
        <v>0.13685084761233662</v>
      </c>
      <c r="F252">
        <f t="shared" si="19"/>
        <v>-1.0482684552678054</v>
      </c>
      <c r="G252" s="1"/>
    </row>
    <row r="253" spans="1:7" x14ac:dyDescent="0.35">
      <c r="A253">
        <f t="shared" si="15"/>
        <v>1.8851853691098472</v>
      </c>
      <c r="B253">
        <f t="shared" si="16"/>
        <v>9.8142421427843924</v>
      </c>
      <c r="C253">
        <f t="shared" si="17"/>
        <v>502</v>
      </c>
      <c r="D253" s="1"/>
      <c r="E253">
        <f t="shared" si="18"/>
        <v>0.15151520551802791</v>
      </c>
      <c r="F253">
        <f t="shared" si="19"/>
        <v>-0.94442088288548243</v>
      </c>
      <c r="G253" s="1"/>
    </row>
    <row r="254" spans="1:7" x14ac:dyDescent="0.35">
      <c r="A254">
        <f t="shared" si="15"/>
        <v>2.0367005746278752</v>
      </c>
      <c r="B254">
        <f t="shared" si="16"/>
        <v>8.8698212598989095</v>
      </c>
      <c r="C254">
        <f t="shared" si="17"/>
        <v>504</v>
      </c>
      <c r="D254" s="1"/>
      <c r="E254">
        <f t="shared" si="18"/>
        <v>0.16753971734902223</v>
      </c>
      <c r="F254">
        <f t="shared" si="19"/>
        <v>-0.85085178587612575</v>
      </c>
      <c r="G254" s="1"/>
    </row>
    <row r="255" spans="1:7" x14ac:dyDescent="0.35">
      <c r="A255">
        <f t="shared" si="15"/>
        <v>2.2042402919768973</v>
      </c>
      <c r="B255">
        <f t="shared" si="16"/>
        <v>8.0189694740227839</v>
      </c>
      <c r="C255">
        <f t="shared" si="17"/>
        <v>506</v>
      </c>
      <c r="D255" s="1"/>
      <c r="E255">
        <f t="shared" si="18"/>
        <v>0.18507255796814215</v>
      </c>
      <c r="F255">
        <f t="shared" si="19"/>
        <v>-0.76654547617273083</v>
      </c>
      <c r="G255" s="1"/>
    </row>
    <row r="256" spans="1:7" x14ac:dyDescent="0.35">
      <c r="A256">
        <f t="shared" si="15"/>
        <v>2.3893128499450396</v>
      </c>
      <c r="B256">
        <f t="shared" si="16"/>
        <v>7.2524239978500535</v>
      </c>
      <c r="C256">
        <f t="shared" si="17"/>
        <v>508</v>
      </c>
      <c r="D256" s="1"/>
      <c r="E256">
        <f t="shared" si="18"/>
        <v>0.20427466529187815</v>
      </c>
      <c r="F256">
        <f t="shared" si="19"/>
        <v>-0.69058578008237959</v>
      </c>
      <c r="G256" s="1"/>
    </row>
    <row r="257" spans="1:7" x14ac:dyDescent="0.35">
      <c r="A257">
        <f t="shared" si="15"/>
        <v>2.5935875152369179</v>
      </c>
      <c r="B257">
        <f t="shared" si="16"/>
        <v>6.561838217767674</v>
      </c>
      <c r="C257">
        <f t="shared" si="17"/>
        <v>510</v>
      </c>
      <c r="D257" s="1"/>
      <c r="E257">
        <f t="shared" si="18"/>
        <v>0.22532134816647839</v>
      </c>
      <c r="F257">
        <f t="shared" si="19"/>
        <v>-0.62214641841955409</v>
      </c>
      <c r="G257" s="1"/>
    </row>
    <row r="258" spans="1:7" x14ac:dyDescent="0.35">
      <c r="A258">
        <f t="shared" si="15"/>
        <v>2.8189088634033963</v>
      </c>
      <c r="B258">
        <f t="shared" si="16"/>
        <v>5.93969179934812</v>
      </c>
      <c r="C258">
        <f t="shared" si="17"/>
        <v>512</v>
      </c>
      <c r="D258" s="1"/>
      <c r="E258">
        <f t="shared" si="18"/>
        <v>0.24840398662220589</v>
      </c>
      <c r="F258">
        <f t="shared" si="19"/>
        <v>-0.56048228021667823</v>
      </c>
      <c r="G258" s="1"/>
    </row>
    <row r="259" spans="1:7" x14ac:dyDescent="0.35">
      <c r="A259">
        <f t="shared" si="15"/>
        <v>3.0673128500256022</v>
      </c>
      <c r="B259">
        <f t="shared" si="16"/>
        <v>5.3792095191314413</v>
      </c>
      <c r="C259">
        <f t="shared" si="17"/>
        <v>514</v>
      </c>
      <c r="D259" s="1"/>
      <c r="E259">
        <f t="shared" si="18"/>
        <v>0.27373184804053641</v>
      </c>
      <c r="F259">
        <f t="shared" si="19"/>
        <v>-0.50492151495112036</v>
      </c>
      <c r="G259" s="1"/>
    </row>
    <row r="260" spans="1:7" x14ac:dyDescent="0.35">
      <c r="A260">
        <f t="shared" ref="A260:A302" si="20">A259 +E259</f>
        <v>3.3410446980661384</v>
      </c>
      <c r="B260">
        <f t="shared" ref="B260:B302" si="21">B259 + F259</f>
        <v>4.8742880041803209</v>
      </c>
      <c r="C260">
        <f t="shared" ref="C260:C302" si="22">C259 +$O$2</f>
        <v>516</v>
      </c>
      <c r="D260" s="1"/>
      <c r="E260">
        <f t="shared" ref="E260:E302" si="23">(($K$2 * A260)*$O$2)-((($M$2 * A260) * B260)*$O$2)</f>
        <v>0.30153404162018577</v>
      </c>
      <c r="F260">
        <f t="shared" ref="F260:F302" si="24">-(($N$2 * B260)*$O$2) + ((($L$2 *B260) * A260)*$O$2)</f>
        <v>-0.45485837223160402</v>
      </c>
      <c r="G260" s="1"/>
    </row>
    <row r="261" spans="1:7" x14ac:dyDescent="0.35">
      <c r="A261">
        <f t="shared" si="20"/>
        <v>3.6425787396863241</v>
      </c>
      <c r="B261">
        <f t="shared" si="21"/>
        <v>4.4194296319487165</v>
      </c>
      <c r="C261">
        <f t="shared" si="22"/>
        <v>518</v>
      </c>
      <c r="D261" s="1"/>
      <c r="E261">
        <f t="shared" si="23"/>
        <v>0.33206163313088011</v>
      </c>
      <c r="F261">
        <f t="shared" si="24"/>
        <v>-0.4097467223571194</v>
      </c>
      <c r="G261" s="1"/>
    </row>
    <row r="262" spans="1:7" x14ac:dyDescent="0.35">
      <c r="A262">
        <f t="shared" si="20"/>
        <v>3.9746403728172042</v>
      </c>
      <c r="B262">
        <f t="shared" si="21"/>
        <v>4.0096829095915973</v>
      </c>
      <c r="C262">
        <f t="shared" si="22"/>
        <v>520</v>
      </c>
      <c r="D262" s="1"/>
      <c r="E262">
        <f t="shared" si="23"/>
        <v>0.36558994213240459</v>
      </c>
      <c r="F262">
        <f t="shared" si="24"/>
        <v>-0.36909419580984393</v>
      </c>
      <c r="G262" s="1"/>
    </row>
    <row r="263" spans="1:7" x14ac:dyDescent="0.35">
      <c r="A263">
        <f t="shared" si="20"/>
        <v>4.3402303149496086</v>
      </c>
      <c r="B263">
        <f t="shared" si="21"/>
        <v>3.6405887137817534</v>
      </c>
      <c r="C263">
        <f t="shared" si="22"/>
        <v>522</v>
      </c>
      <c r="D263" s="1"/>
      <c r="E263">
        <f t="shared" si="23"/>
        <v>0.40242104449532295</v>
      </c>
      <c r="F263">
        <f t="shared" si="24"/>
        <v>-0.33245688437853743</v>
      </c>
      <c r="G263" s="1"/>
    </row>
    <row r="264" spans="1:7" x14ac:dyDescent="0.35">
      <c r="A264">
        <f t="shared" si="20"/>
        <v>4.742651359444932</v>
      </c>
      <c r="B264">
        <f t="shared" si="21"/>
        <v>3.3081318294032158</v>
      </c>
      <c r="C264">
        <f t="shared" si="22"/>
        <v>524</v>
      </c>
      <c r="D264" s="1"/>
      <c r="E264">
        <f t="shared" si="23"/>
        <v>0.4428865041086088</v>
      </c>
      <c r="F264">
        <f t="shared" si="24"/>
        <v>-0.29943455110443717</v>
      </c>
      <c r="G264" s="1"/>
    </row>
    <row r="265" spans="1:7" x14ac:dyDescent="0.35">
      <c r="A265">
        <f t="shared" si="20"/>
        <v>5.1855378635535407</v>
      </c>
      <c r="B265">
        <f t="shared" si="21"/>
        <v>3.0086972782987784</v>
      </c>
      <c r="C265">
        <f t="shared" si="22"/>
        <v>526</v>
      </c>
      <c r="D265" s="1"/>
      <c r="E265">
        <f t="shared" si="23"/>
        <v>0.4873503590421765</v>
      </c>
      <c r="F265">
        <f t="shared" si="24"/>
        <v>-0.26966630051670026</v>
      </c>
      <c r="G265" s="1"/>
    </row>
    <row r="266" spans="1:7" x14ac:dyDescent="0.35">
      <c r="A266">
        <f t="shared" si="20"/>
        <v>5.6728882225957173</v>
      </c>
      <c r="B266">
        <f t="shared" si="21"/>
        <v>2.739030977782078</v>
      </c>
      <c r="C266">
        <f t="shared" si="22"/>
        <v>528</v>
      </c>
      <c r="D266" s="1"/>
      <c r="E266">
        <f t="shared" si="23"/>
        <v>0.53621238910920221</v>
      </c>
      <c r="F266">
        <f t="shared" si="24"/>
        <v>-0.24282666462783825</v>
      </c>
      <c r="G266" s="1"/>
    </row>
    <row r="267" spans="1:7" x14ac:dyDescent="0.35">
      <c r="A267">
        <f t="shared" si="20"/>
        <v>6.2091006117049199</v>
      </c>
      <c r="B267">
        <f t="shared" si="21"/>
        <v>2.49620431315424</v>
      </c>
      <c r="C267">
        <f t="shared" si="22"/>
        <v>530</v>
      </c>
      <c r="D267" s="1"/>
      <c r="E267">
        <f t="shared" si="23"/>
        <v>0.58991169371499919</v>
      </c>
      <c r="F267">
        <f t="shared" si="24"/>
        <v>-0.2186220638599311</v>
      </c>
      <c r="G267" s="1"/>
    </row>
    <row r="268" spans="1:7" x14ac:dyDescent="0.35">
      <c r="A268">
        <f t="shared" si="20"/>
        <v>6.799012305419919</v>
      </c>
      <c r="B268">
        <f t="shared" si="21"/>
        <v>2.277582249294309</v>
      </c>
      <c r="C268">
        <f t="shared" si="22"/>
        <v>532</v>
      </c>
      <c r="D268" s="1"/>
      <c r="E268">
        <f t="shared" si="23"/>
        <v>0.64893061106287597</v>
      </c>
      <c r="F268">
        <f t="shared" si="24"/>
        <v>-0.19678760545031493</v>
      </c>
      <c r="G268" s="1"/>
    </row>
    <row r="269" spans="1:7" x14ac:dyDescent="0.35">
      <c r="A269">
        <f t="shared" si="20"/>
        <v>7.4479429164827948</v>
      </c>
      <c r="B269">
        <f t="shared" si="21"/>
        <v>2.0807946438439942</v>
      </c>
      <c r="C269">
        <f t="shared" si="22"/>
        <v>534</v>
      </c>
      <c r="D269" s="1"/>
      <c r="E269">
        <f t="shared" si="23"/>
        <v>0.71379901219173303</v>
      </c>
      <c r="F269">
        <f t="shared" si="24"/>
        <v>-0.17708418492785299</v>
      </c>
      <c r="G269" s="1"/>
    </row>
    <row r="270" spans="1:7" x14ac:dyDescent="0.35">
      <c r="A270">
        <f t="shared" si="20"/>
        <v>8.1617419286745285</v>
      </c>
      <c r="B270">
        <f t="shared" si="21"/>
        <v>1.9037104589161411</v>
      </c>
      <c r="C270">
        <f t="shared" si="22"/>
        <v>536</v>
      </c>
      <c r="D270" s="1"/>
      <c r="E270">
        <f t="shared" si="23"/>
        <v>0.78509900592226867</v>
      </c>
      <c r="F270">
        <f t="shared" si="24"/>
        <v>-0.15929585894642995</v>
      </c>
      <c r="G270" s="1"/>
    </row>
    <row r="271" spans="1:7" x14ac:dyDescent="0.35">
      <c r="A271">
        <f t="shared" si="20"/>
        <v>8.9468409345967963</v>
      </c>
      <c r="B271">
        <f t="shared" si="21"/>
        <v>1.7444145999697112</v>
      </c>
      <c r="C271">
        <f t="shared" si="22"/>
        <v>538</v>
      </c>
      <c r="D271" s="1"/>
      <c r="E271">
        <f t="shared" si="23"/>
        <v>0.86347009355984505</v>
      </c>
      <c r="F271">
        <f t="shared" si="24"/>
        <v>-0.14322746009713652</v>
      </c>
      <c r="G271" s="1"/>
    </row>
    <row r="272" spans="1:7" x14ac:dyDescent="0.35">
      <c r="A272">
        <f t="shared" si="20"/>
        <v>9.8103110281566419</v>
      </c>
      <c r="B272">
        <f t="shared" si="21"/>
        <v>1.6011871398725745</v>
      </c>
      <c r="C272">
        <f t="shared" si="22"/>
        <v>540</v>
      </c>
      <c r="D272" s="1"/>
      <c r="E272">
        <f t="shared" si="23"/>
        <v>0.94961481510279522</v>
      </c>
      <c r="F272">
        <f t="shared" si="24"/>
        <v>-0.12870242627438844</v>
      </c>
      <c r="G272" s="1"/>
    </row>
    <row r="273" spans="1:7" x14ac:dyDescent="0.35">
      <c r="A273">
        <f t="shared" si="20"/>
        <v>10.759925843259436</v>
      </c>
      <c r="B273">
        <f t="shared" si="21"/>
        <v>1.472484713598186</v>
      </c>
      <c r="C273">
        <f t="shared" si="22"/>
        <v>542</v>
      </c>
      <c r="D273" s="1"/>
      <c r="E273">
        <f t="shared" si="23"/>
        <v>1.0443049316786446</v>
      </c>
      <c r="F273">
        <f t="shared" si="24"/>
        <v>-0.11556081871251943</v>
      </c>
      <c r="G273" s="1"/>
    </row>
    <row r="274" spans="1:7" x14ac:dyDescent="0.35">
      <c r="A274">
        <f t="shared" si="20"/>
        <v>11.80423077493808</v>
      </c>
      <c r="B274">
        <f t="shared" si="21"/>
        <v>1.3569238948856666</v>
      </c>
      <c r="C274">
        <f t="shared" si="22"/>
        <v>544</v>
      </c>
      <c r="D274" s="1"/>
      <c r="E274">
        <f t="shared" si="23"/>
        <v>1.1483881918952916</v>
      </c>
      <c r="F274">
        <f t="shared" si="24"/>
        <v>-0.1036575038900502</v>
      </c>
      <c r="G274" s="1"/>
    </row>
    <row r="275" spans="1:7" x14ac:dyDescent="0.35">
      <c r="A275">
        <f t="shared" si="20"/>
        <v>12.952618966833372</v>
      </c>
      <c r="B275">
        <f t="shared" si="21"/>
        <v>1.2532663909956163</v>
      </c>
      <c r="C275">
        <f t="shared" si="22"/>
        <v>546</v>
      </c>
      <c r="D275" s="1"/>
      <c r="E275">
        <f t="shared" si="23"/>
        <v>1.2627957326303281</v>
      </c>
      <c r="F275">
        <f t="shared" si="24"/>
        <v>-9.2860475046552371E-2</v>
      </c>
      <c r="G275" s="1"/>
    </row>
    <row r="276" spans="1:7" x14ac:dyDescent="0.35">
      <c r="A276">
        <f t="shared" si="20"/>
        <v>14.2154146994637</v>
      </c>
      <c r="B276">
        <f t="shared" si="21"/>
        <v>1.1604059159490641</v>
      </c>
      <c r="C276">
        <f t="shared" si="22"/>
        <v>548</v>
      </c>
      <c r="D276" s="1"/>
      <c r="E276">
        <f t="shared" si="23"/>
        <v>1.3885501673165164</v>
      </c>
      <c r="F276">
        <f t="shared" si="24"/>
        <v>-8.3049288965052481E-2</v>
      </c>
      <c r="G276" s="1"/>
    </row>
    <row r="277" spans="1:7" x14ac:dyDescent="0.35">
      <c r="A277">
        <f t="shared" si="20"/>
        <v>15.603964866780217</v>
      </c>
      <c r="B277">
        <f t="shared" si="21"/>
        <v>1.0773566269840116</v>
      </c>
      <c r="C277">
        <f t="shared" si="22"/>
        <v>550</v>
      </c>
      <c r="D277" s="1"/>
      <c r="E277">
        <f t="shared" si="23"/>
        <v>1.5267744167651192</v>
      </c>
      <c r="F277">
        <f t="shared" si="24"/>
        <v>-7.411359278549845E-2</v>
      </c>
      <c r="G277" s="1"/>
    </row>
    <row r="278" spans="1:7" x14ac:dyDescent="0.35">
      <c r="A278">
        <f t="shared" si="20"/>
        <v>17.130739283545335</v>
      </c>
      <c r="B278">
        <f t="shared" si="21"/>
        <v>1.0032430341985132</v>
      </c>
      <c r="C278">
        <f t="shared" si="22"/>
        <v>552</v>
      </c>
      <c r="D278" s="1"/>
      <c r="E278">
        <f t="shared" si="23"/>
        <v>1.6787013386407581</v>
      </c>
      <c r="F278">
        <f t="shared" si="24"/>
        <v>-6.5951713706075943E-2</v>
      </c>
      <c r="G278" s="1"/>
    </row>
    <row r="279" spans="1:7" x14ac:dyDescent="0.35">
      <c r="A279">
        <f t="shared" si="20"/>
        <v>18.809440622186091</v>
      </c>
      <c r="B279">
        <f t="shared" si="21"/>
        <v>0.93729132049243735</v>
      </c>
      <c r="C279">
        <f t="shared" si="22"/>
        <v>554</v>
      </c>
      <c r="D279" s="1"/>
      <c r="E279">
        <f t="shared" si="23"/>
        <v>1.8456842113416236</v>
      </c>
      <c r="F279">
        <f t="shared" si="24"/>
        <v>-5.8469281172257949E-2</v>
      </c>
      <c r="G279" s="1"/>
    </row>
    <row r="280" spans="1:7" x14ac:dyDescent="0.35">
      <c r="A280">
        <f t="shared" si="20"/>
        <v>20.655124833527715</v>
      </c>
      <c r="B280">
        <f t="shared" si="21"/>
        <v>0.87882203932017944</v>
      </c>
      <c r="C280">
        <f t="shared" si="22"/>
        <v>556</v>
      </c>
      <c r="D280" s="1"/>
      <c r="E280">
        <f t="shared" si="23"/>
        <v>2.0292081254955443</v>
      </c>
      <c r="F280">
        <f t="shared" si="24"/>
        <v>-5.1577846074790538E-2</v>
      </c>
      <c r="G280" s="1"/>
    </row>
    <row r="281" spans="1:7" x14ac:dyDescent="0.35">
      <c r="A281">
        <f t="shared" si="20"/>
        <v>22.684332959023259</v>
      </c>
      <c r="B281">
        <f t="shared" si="21"/>
        <v>0.82724419324538889</v>
      </c>
      <c r="C281">
        <f t="shared" si="22"/>
        <v>558</v>
      </c>
      <c r="D281" s="1"/>
      <c r="E281">
        <f t="shared" si="23"/>
        <v>2.230902330466332</v>
      </c>
      <c r="F281">
        <f t="shared" si="24"/>
        <v>-4.5193453888544927E-2</v>
      </c>
      <c r="G281" s="1"/>
    </row>
    <row r="282" spans="1:7" x14ac:dyDescent="0.35">
      <c r="A282">
        <f t="shared" si="20"/>
        <v>24.915235289489591</v>
      </c>
      <c r="B282">
        <f t="shared" si="21"/>
        <v>0.78205073935684399</v>
      </c>
      <c r="C282">
        <f t="shared" si="22"/>
        <v>560</v>
      </c>
      <c r="D282" s="1"/>
      <c r="E282">
        <f t="shared" si="23"/>
        <v>2.452553572590169</v>
      </c>
      <c r="F282">
        <f t="shared" si="24"/>
        <v>-3.9235117576894275E-2</v>
      </c>
      <c r="G282" s="1"/>
    </row>
    <row r="283" spans="1:7" x14ac:dyDescent="0.35">
      <c r="A283">
        <f t="shared" si="20"/>
        <v>27.36778886207976</v>
      </c>
      <c r="B283">
        <f t="shared" si="21"/>
        <v>0.74281562177994975</v>
      </c>
      <c r="C283">
        <f t="shared" si="22"/>
        <v>562</v>
      </c>
      <c r="D283" s="1"/>
      <c r="E283">
        <f t="shared" si="23"/>
        <v>2.6961204440073199</v>
      </c>
      <c r="F283">
        <f t="shared" si="24"/>
        <v>-3.3623119977338654E-2</v>
      </c>
      <c r="G283" s="1"/>
    </row>
    <row r="284" spans="1:7" x14ac:dyDescent="0.35">
      <c r="A284">
        <f t="shared" si="20"/>
        <v>30.06390930608708</v>
      </c>
      <c r="B284">
        <f t="shared" si="21"/>
        <v>0.70919250180261106</v>
      </c>
      <c r="C284">
        <f t="shared" si="22"/>
        <v>564</v>
      </c>
      <c r="D284" s="1"/>
      <c r="E284">
        <f t="shared" si="23"/>
        <v>2.9637487324992065</v>
      </c>
      <c r="F284">
        <f t="shared" si="24"/>
        <v>-2.8277052070759721E-2</v>
      </c>
      <c r="G284" s="1"/>
    </row>
    <row r="285" spans="1:7" x14ac:dyDescent="0.35">
      <c r="A285">
        <f t="shared" si="20"/>
        <v>33.027658038586289</v>
      </c>
      <c r="B285">
        <f t="shared" si="21"/>
        <v>0.68091544973185136</v>
      </c>
      <c r="C285">
        <f t="shared" si="22"/>
        <v>566</v>
      </c>
      <c r="D285" s="1"/>
      <c r="E285">
        <f t="shared" si="23"/>
        <v>3.2577877186047615</v>
      </c>
      <c r="F285">
        <f t="shared" si="24"/>
        <v>-2.3113459719317574E-2</v>
      </c>
      <c r="G285" s="1"/>
    </row>
    <row r="286" spans="1:7" x14ac:dyDescent="0.35">
      <c r="A286">
        <f t="shared" si="20"/>
        <v>36.285445757191049</v>
      </c>
      <c r="B286">
        <f t="shared" si="21"/>
        <v>0.65780199001253381</v>
      </c>
      <c r="C286">
        <f t="shared" si="22"/>
        <v>568</v>
      </c>
      <c r="D286" s="1"/>
      <c r="E286">
        <f t="shared" si="23"/>
        <v>3.5808072988639608</v>
      </c>
      <c r="F286">
        <f t="shared" si="24"/>
        <v>-1.8042922146109135E-2</v>
      </c>
      <c r="G286" s="1"/>
    </row>
    <row r="287" spans="1:7" x14ac:dyDescent="0.35">
      <c r="A287">
        <f t="shared" si="20"/>
        <v>39.866253056055008</v>
      </c>
      <c r="B287">
        <f t="shared" si="21"/>
        <v>0.63975906786642467</v>
      </c>
      <c r="C287">
        <f t="shared" si="22"/>
        <v>570</v>
      </c>
      <c r="D287" s="1"/>
      <c r="E287">
        <f t="shared" si="23"/>
        <v>3.9356157118165633</v>
      </c>
      <c r="F287">
        <f t="shared" si="24"/>
        <v>-1.2966312997704961E-2</v>
      </c>
      <c r="G287" s="1"/>
    </row>
    <row r="288" spans="1:7" x14ac:dyDescent="0.35">
      <c r="A288">
        <f t="shared" si="20"/>
        <v>43.801868767871568</v>
      </c>
      <c r="B288">
        <f t="shared" si="21"/>
        <v>0.62679275486871966</v>
      </c>
      <c r="C288">
        <f t="shared" si="22"/>
        <v>572</v>
      </c>
      <c r="D288" s="1"/>
      <c r="E288">
        <f t="shared" si="23"/>
        <v>4.3252774888003325</v>
      </c>
      <c r="F288">
        <f t="shared" si="24"/>
        <v>-7.7698875000472636E-3</v>
      </c>
      <c r="G288" s="1"/>
    </row>
    <row r="289" spans="1:7" x14ac:dyDescent="0.35">
      <c r="A289">
        <f t="shared" si="20"/>
        <v>48.127146256671899</v>
      </c>
      <c r="B289">
        <f t="shared" si="21"/>
        <v>0.6190228673686724</v>
      </c>
      <c r="C289">
        <f t="shared" si="22"/>
        <v>574</v>
      </c>
      <c r="D289" s="1"/>
      <c r="E289">
        <f t="shared" si="23"/>
        <v>4.7531310175190375</v>
      </c>
      <c r="F289">
        <f t="shared" si="24"/>
        <v>-2.3186785887142208E-3</v>
      </c>
      <c r="G289" s="1"/>
    </row>
    <row r="290" spans="1:7" x14ac:dyDescent="0.35">
      <c r="A290">
        <f t="shared" si="20"/>
        <v>52.880277274190938</v>
      </c>
      <c r="B290">
        <f t="shared" si="21"/>
        <v>0.61670418877995814</v>
      </c>
      <c r="C290">
        <f t="shared" si="22"/>
        <v>576</v>
      </c>
      <c r="D290" s="1"/>
      <c r="E290">
        <f t="shared" si="23"/>
        <v>5.2228047504214157</v>
      </c>
      <c r="F290">
        <f t="shared" si="24"/>
        <v>3.552558119682539E-3</v>
      </c>
      <c r="G290" s="1"/>
    </row>
    <row r="291" spans="1:7" x14ac:dyDescent="0.35">
      <c r="A291">
        <f t="shared" si="20"/>
        <v>58.103082024612355</v>
      </c>
      <c r="B291">
        <f t="shared" si="21"/>
        <v>0.62025674689964072</v>
      </c>
      <c r="C291">
        <f t="shared" si="22"/>
        <v>578</v>
      </c>
      <c r="D291" s="1"/>
      <c r="E291">
        <f t="shared" si="23"/>
        <v>5.7382305451783777</v>
      </c>
      <c r="F291">
        <f t="shared" si="24"/>
        <v>1.0051982592894027E-2</v>
      </c>
      <c r="G291" s="1"/>
    </row>
    <row r="292" spans="1:7" x14ac:dyDescent="0.35">
      <c r="A292">
        <f t="shared" si="20"/>
        <v>63.84131256979073</v>
      </c>
      <c r="B292">
        <f t="shared" si="21"/>
        <v>0.63030872949253469</v>
      </c>
      <c r="C292">
        <f t="shared" si="22"/>
        <v>580</v>
      </c>
      <c r="D292" s="1"/>
      <c r="E292">
        <f t="shared" si="23"/>
        <v>6.3036517837490722</v>
      </c>
      <c r="F292">
        <f t="shared" si="24"/>
        <v>1.7448600280747698E-2</v>
      </c>
      <c r="G292" s="1"/>
    </row>
    <row r="293" spans="1:7" x14ac:dyDescent="0.35">
      <c r="A293">
        <f t="shared" si="20"/>
        <v>70.144964353539805</v>
      </c>
      <c r="B293">
        <f t="shared" si="21"/>
        <v>0.64775732977328238</v>
      </c>
      <c r="C293">
        <f t="shared" si="22"/>
        <v>582</v>
      </c>
      <c r="D293" s="1"/>
      <c r="E293">
        <f t="shared" si="23"/>
        <v>6.923622605740599</v>
      </c>
      <c r="F293">
        <f t="shared" si="24"/>
        <v>2.6098096636053808E-2</v>
      </c>
      <c r="G293" s="1"/>
    </row>
    <row r="294" spans="1:7" x14ac:dyDescent="0.35">
      <c r="A294">
        <f t="shared" si="20"/>
        <v>77.06858695928041</v>
      </c>
      <c r="B294">
        <f t="shared" si="21"/>
        <v>0.67385542640933616</v>
      </c>
      <c r="C294">
        <f t="shared" si="22"/>
        <v>584</v>
      </c>
      <c r="D294" s="1"/>
      <c r="E294">
        <f t="shared" si="23"/>
        <v>7.6029925248716195</v>
      </c>
      <c r="F294">
        <f t="shared" si="24"/>
        <v>3.6480628415488187E-2</v>
      </c>
      <c r="G294" s="1"/>
    </row>
    <row r="295" spans="1:7" x14ac:dyDescent="0.35">
      <c r="A295">
        <f t="shared" si="20"/>
        <v>84.671579484152034</v>
      </c>
      <c r="B295">
        <f t="shared" si="21"/>
        <v>0.71033605482482431</v>
      </c>
      <c r="C295">
        <f t="shared" si="22"/>
        <v>586</v>
      </c>
      <c r="D295" s="1"/>
      <c r="E295">
        <f t="shared" si="23"/>
        <v>8.3468673969620859</v>
      </c>
      <c r="F295">
        <f t="shared" si="24"/>
        <v>4.9256945970635763E-2</v>
      </c>
      <c r="G295" s="1"/>
    </row>
    <row r="296" spans="1:7" x14ac:dyDescent="0.35">
      <c r="A296">
        <f t="shared" si="20"/>
        <v>93.018446881114116</v>
      </c>
      <c r="B296">
        <f t="shared" si="21"/>
        <v>0.7595930007954601</v>
      </c>
      <c r="C296">
        <f t="shared" si="22"/>
        <v>588</v>
      </c>
      <c r="D296" s="1"/>
      <c r="E296">
        <f t="shared" si="23"/>
        <v>9.1605323657198952</v>
      </c>
      <c r="F296">
        <f t="shared" si="24"/>
        <v>6.5353022311971126E-2</v>
      </c>
      <c r="G296" s="1"/>
    </row>
    <row r="297" spans="1:7" x14ac:dyDescent="0.35">
      <c r="A297">
        <f t="shared" si="20"/>
        <v>102.17897924683402</v>
      </c>
      <c r="B297">
        <f t="shared" si="21"/>
        <v>0.82494602310743126</v>
      </c>
      <c r="C297">
        <f t="shared" si="22"/>
        <v>590</v>
      </c>
      <c r="D297" s="1"/>
      <c r="E297">
        <f t="shared" si="23"/>
        <v>10.049313639533697</v>
      </c>
      <c r="F297">
        <f t="shared" si="24"/>
        <v>8.6089682838961817E-2</v>
      </c>
      <c r="G297" s="1"/>
    </row>
    <row r="298" spans="1:7" x14ac:dyDescent="0.35">
      <c r="A298">
        <f t="shared" si="20"/>
        <v>112.22829288636771</v>
      </c>
      <c r="B298">
        <f t="shared" si="21"/>
        <v>0.91103570594639305</v>
      </c>
      <c r="C298">
        <f t="shared" si="22"/>
        <v>592</v>
      </c>
      <c r="D298" s="1"/>
      <c r="E298">
        <f t="shared" si="23"/>
        <v>11.018341324562991</v>
      </c>
      <c r="F298">
        <f t="shared" si="24"/>
        <v>0.11338439347914184</v>
      </c>
      <c r="G298" s="1"/>
    </row>
    <row r="299" spans="1:7" x14ac:dyDescent="0.35">
      <c r="A299">
        <f t="shared" si="20"/>
        <v>123.24663421093071</v>
      </c>
      <c r="B299">
        <f t="shared" si="21"/>
        <v>1.0244200994255348</v>
      </c>
      <c r="C299">
        <f t="shared" si="22"/>
        <v>594</v>
      </c>
      <c r="D299" s="1"/>
      <c r="E299">
        <f t="shared" si="23"/>
        <v>12.072150762548622</v>
      </c>
      <c r="F299">
        <f t="shared" si="24"/>
        <v>0.15007064860189484</v>
      </c>
      <c r="G299" s="1"/>
    </row>
    <row r="300" spans="1:7" x14ac:dyDescent="0.35">
      <c r="A300">
        <f t="shared" si="20"/>
        <v>135.31878497347932</v>
      </c>
      <c r="B300">
        <f t="shared" si="21"/>
        <v>1.1744907480274296</v>
      </c>
      <c r="C300">
        <f t="shared" si="22"/>
        <v>596</v>
      </c>
      <c r="D300" s="1"/>
      <c r="E300">
        <f t="shared" si="23"/>
        <v>13.214017175376604</v>
      </c>
      <c r="F300">
        <f t="shared" si="24"/>
        <v>0.2004122471685863</v>
      </c>
      <c r="G300" s="1"/>
    </row>
    <row r="301" spans="1:7" x14ac:dyDescent="0.35">
      <c r="A301">
        <f t="shared" si="20"/>
        <v>148.53280214885592</v>
      </c>
      <c r="B301">
        <f t="shared" si="21"/>
        <v>1.3749029951960159</v>
      </c>
      <c r="C301">
        <f t="shared" si="22"/>
        <v>598</v>
      </c>
      <c r="D301" s="1"/>
      <c r="E301">
        <f t="shared" si="23"/>
        <v>14.444843825766956</v>
      </c>
      <c r="F301">
        <f t="shared" si="24"/>
        <v>0.27094608959903688</v>
      </c>
      <c r="G301" s="1"/>
    </row>
    <row r="302" spans="1:7" x14ac:dyDescent="0.35">
      <c r="A302">
        <f t="shared" si="20"/>
        <v>162.97764597462287</v>
      </c>
      <c r="B302">
        <f t="shared" si="21"/>
        <v>1.6458490847950529</v>
      </c>
      <c r="C302">
        <f t="shared" si="22"/>
        <v>600</v>
      </c>
      <c r="D302" s="1"/>
      <c r="E302">
        <f t="shared" si="23"/>
        <v>15.761291378523516</v>
      </c>
      <c r="F302">
        <f t="shared" si="24"/>
        <v>0.37188831045926513</v>
      </c>
      <c r="G3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Fabre</dc:creator>
  <cp:lastModifiedBy>Florian PLEIGNEUR</cp:lastModifiedBy>
  <dcterms:created xsi:type="dcterms:W3CDTF">2026-09-18T07:45:14Z</dcterms:created>
  <dcterms:modified xsi:type="dcterms:W3CDTF">2026-09-24T08:02:36Z</dcterms:modified>
</cp:coreProperties>
</file>